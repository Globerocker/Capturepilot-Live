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hecklist" state="visible" r:id="rId5"/>
    <sheet sheetId="3" name="Quick Reference" state="visible" r:id="rId6"/>
    <sheet sheetId="4" name="Timeline" state="visible" r:id="rId7"/>
    <sheet sheetId="5" name="Instructions" state="visible" r:id="rId8"/>
  </sheets>
  <definedNames>
    <definedName name="StatusRange">Checklist!$E$6:$E$45</definedName>
    <definedName name="RequiredRange">Checklist!$D$6:$D$45</definedName>
    <definedName name="KickoffDate">Timeline!$C$5</definedName>
    <definedName name="_xlnm.Print_Titles" localSheetId="0">'Dashboard'!$1:$4</definedName>
    <definedName name="_xlnm.Print_Titles" localSheetId="1">'Checklist'!$1:$4</definedName>
    <definedName name="_xlnm.Print_Titles" localSheetId="2">'Quick Reference'!$1:$4</definedName>
    <definedName name="_xlnm.Print_Titles" localSheetId="3">'Timeline'!$1:$4</definedName>
    <definedName name="_xlnm.Print_Titles" localSheetId="4">'Instructions'!$1:$4</definedName>
  </definedNames>
  <calcPr calcId="171027"/>
</workbook>
</file>

<file path=xl/sharedStrings.xml><?xml version="1.0" encoding="utf-8"?>
<sst xmlns="http://schemas.openxmlformats.org/spreadsheetml/2006/main" count="346" uniqueCount="244">
  <si>
    <t>CAPTUREPILOT  ·  SAM Pre-Reg Dashboard</t>
  </si>
  <si>
    <t>Live readiness score · auto-calculated from your Checklist tab</t>
  </si>
  <si>
    <t>Update statuses on the Checklist tab. This page recalculates instantly.</t>
  </si>
  <si>
    <t>TOTAL ITEMS</t>
  </si>
  <si>
    <t>DONE</t>
  </si>
  <si>
    <t>TO GET</t>
  </si>
  <si>
    <t>BLOCKED / N/A</t>
  </si>
  <si>
    <t>READINESS</t>
  </si>
  <si>
    <t>REQUIRED-ONLY COMPLETION (excludes optional + if-applicable rows)</t>
  </si>
  <si>
    <t>PER-SECTION BREAKDOWN</t>
  </si>
  <si>
    <t>Section</t>
  </si>
  <si>
    <t>Items</t>
  </si>
  <si>
    <t>Done</t>
  </si>
  <si>
    <t>Remaining</t>
  </si>
  <si>
    <t>% Complete</t>
  </si>
  <si>
    <t>1. Legal &amp; Business Identity</t>
  </si>
  <si>
    <t>2. Points of Contact</t>
  </si>
  <si>
    <t>3. NAICS Codes</t>
  </si>
  <si>
    <t>4. Banking &amp; Payment (EFT)</t>
  </si>
  <si>
    <t>5. Set-Aside Certifications</t>
  </si>
  <si>
    <t>6. login.gov Account</t>
  </si>
  <si>
    <t>7. Notarized Letter</t>
  </si>
  <si>
    <t>8. Optional / Products Sellers</t>
  </si>
  <si>
    <t>OVERALL STATUS</t>
  </si>
  <si>
    <t>CAPTUREPILOT  ·  SAM.gov Pre-Registration Checklist</t>
  </si>
  <si>
    <t>Gather everything below BEFORE opening SAM.gov  ·  Federal Launch Kit Doc 01-B  ·  capturepilot.com</t>
  </si>
  <si>
    <t>Heads up: SAM.gov registration is free. Never pay a third party. Starting without these documents causes mid-registration errors that lose your session.</t>
  </si>
  <si>
    <t>#</t>
  </si>
  <si>
    <t>Item to Gather</t>
  </si>
  <si>
    <t>Where to Find It · Notes</t>
  </si>
  <si>
    <t>Required?</t>
  </si>
  <si>
    <t>My Status</t>
  </si>
  <si>
    <t>Owner / Due Date</t>
  </si>
  <si>
    <t xml:space="preserve">  SECTION 1 — Legal &amp; Business Identity</t>
  </si>
  <si>
    <t>Exact legal business name from IRS records</t>
  </si>
  <si>
    <t>Pull from IRS Letter CP 575 or 147C. Copy character-for-character including commas, periods, spacing.</t>
  </si>
  <si>
    <t>Required</t>
  </si>
  <si>
    <t/>
  </si>
  <si>
    <t>EIN / TIN (Employer Identification Number)</t>
  </si>
  <si>
    <t>From your IRS EIN confirmation letter. Call IRS at 1-800-829-4933 if you need a copy (Letter 147C).</t>
  </si>
  <si>
    <t>Business start date (legal formation date)</t>
  </si>
  <si>
    <t>The date on your Secretary of State incorporation documents. NOT the date you started operations.</t>
  </si>
  <si>
    <t>Physical business street address</t>
  </si>
  <si>
    <t>PO Boxes are not accepted. Use a registered agent address if you need privacy protection.</t>
  </si>
  <si>
    <t>Fiscal year end date</t>
  </si>
  <si>
    <t>Usually December 31. Must match your tax year end.</t>
  </si>
  <si>
    <t>Business entity type</t>
  </si>
  <si>
    <t>LLC, S-Corp, C-Corp, Sole Proprietor, Partnership, Nonprofit, etc.</t>
  </si>
  <si>
    <t>State of incorporation / formation</t>
  </si>
  <si>
    <t>Found on your Secretary of State registration documents.</t>
  </si>
  <si>
    <t xml:space="preserve">  SECTION 2 — Points of Contact (3 Required)</t>
  </si>
  <si>
    <t>Entity Administrator: name and email</t>
  </si>
  <si>
    <t>Person managing the SAM.gov account. Must match the email on your login.gov account. Use a monitored inbox.</t>
  </si>
  <si>
    <t>Government Business POC: name, title, phone, email</t>
  </si>
  <si>
    <t>Primary contracting contact. Appears publicly in your registration. Contracting Officers will reach you here.</t>
  </si>
  <si>
    <t>Electronic Business POC: name, title, phone, email</t>
  </si>
  <si>
    <t>Contact for invoicing and electronic transactions. Can be the same person as the Government Business POC.</t>
  </si>
  <si>
    <t>Accounts Receivable POC: name, title, phone, email</t>
  </si>
  <si>
    <t>Payment processing contact. For small businesses, all three POC roles can be the same person.</t>
  </si>
  <si>
    <t xml:space="preserve">  SECTION 3 — NAICS Codes (Industry Classification)</t>
  </si>
  <si>
    <t>Primary NAICS code (6-digit)</t>
  </si>
  <si>
    <t>The code for your main line of business. Look up at census.gov/naics or use CapturePilot NAICS Picker (Doc 01-C).</t>
  </si>
  <si>
    <t>SBA size standard for your primary NAICS</t>
  </si>
  <si>
    <t>Check sba.gov/size-standards. Determines if you qualify as Small. Based on revenue or employees depending on industry.</t>
  </si>
  <si>
    <t>Additional NAICS codes for other services</t>
  </si>
  <si>
    <t>Add every relevant code. Agencies filter by NAICS when searching vendors. More codes mean more visibility.</t>
  </si>
  <si>
    <t>Recommended</t>
  </si>
  <si>
    <t xml:space="preserve">  SECTION 4 — Banking &amp; Payment (EFT)</t>
  </si>
  <si>
    <t>Bank routing number (9-digit ABA number)</t>
  </si>
  <si>
    <t>Found on your checks (first 9 digits at the bottom). Read each digit back before entering.</t>
  </si>
  <si>
    <t>Bank account number</t>
  </si>
  <si>
    <t>Business checking or savings account. Errors cause payment failures after award.</t>
  </si>
  <si>
    <t>Account type (checking or savings)</t>
  </si>
  <si>
    <t>Typically checking for business accounts.</t>
  </si>
  <si>
    <t>Bank name, full address, and phone number</t>
  </si>
  <si>
    <t>Legal bank name and branch address. Not just "Chase" — the full entity name.</t>
  </si>
  <si>
    <t xml:space="preserve">  SECTION 5 — Set-Aside Certifications (If Applicable)</t>
  </si>
  <si>
    <t>8(a) certification letter (SBA-issued)</t>
  </si>
  <si>
    <t>Only if you already have active 8(a) status. Apply at certify.sba.gov after SAM activation if you qualify.</t>
  </si>
  <si>
    <t>If applicable</t>
  </si>
  <si>
    <t>HUBZone certification letter (SBA-issued)</t>
  </si>
  <si>
    <t>SBA-certified only. Verify your office and employees are in a HUBZone at certify.sba.gov.</t>
  </si>
  <si>
    <t>WOSB / EDWOSB certification letter (SBA-issued)</t>
  </si>
  <si>
    <t>Women-owned. SBA certification required since 2020 — self-certification is no longer accepted.</t>
  </si>
  <si>
    <t>VOSB / SDVOSB VA CVE verification letter</t>
  </si>
  <si>
    <t>Veteran-owned or service-disabled veteran-owned. CVE verified at veteransmallbizce.va.gov.</t>
  </si>
  <si>
    <t xml:space="preserve">  SECTION 6 — login.gov Account (Complete Before SAM.gov)</t>
  </si>
  <si>
    <t>login.gov account created</t>
  </si>
  <si>
    <t>Use your Entity Administrator email. Same address that will own your SAM.gov account.</t>
  </si>
  <si>
    <t>2-Factor Authentication (2FA) enabled</t>
  </si>
  <si>
    <t>Use an authenticator app (Google Authenticator or Authy). Not SMS, which can fail mid-registration.</t>
  </si>
  <si>
    <t>Identity verification completed on login.gov</t>
  </si>
  <si>
    <t>Requires a government-issued photo ID (driver's license or passport). Takes about 10 minutes.</t>
  </si>
  <si>
    <t>Backup codes downloaded and stored safely</t>
  </si>
  <si>
    <t>If you lose your 2FA device, backup codes are your only recovery option. Store offline.</t>
  </si>
  <si>
    <t xml:space="preserve">  SECTION 7 — Notarized Entity Administrator Letter</t>
  </si>
  <si>
    <t>GSA Notarized Letter template downloaded</t>
  </si>
  <si>
    <t>Search "Entity Registration Notarized Letter" at fsd.gov. Only the official GSA template is accepted.</t>
  </si>
  <si>
    <t>Company letterhead prepared (logo + address)</t>
  </si>
  <si>
    <t>The letter must be on official company letterhead. Create one in Word or Canva if you do not have one.</t>
  </si>
  <si>
    <t>Notary public arranged (in-person or RON)</t>
  </si>
  <si>
    <t>Use a local bank, UPS Store, or Remote Online Notarization service. RON accepted as of 2026.</t>
  </si>
  <si>
    <t>High-quality scanner or camera ready</t>
  </si>
  <si>
    <t>Scan at 300 DPI minimum. Notary seal must be fully legible — blurry seals are the top rejection reason.</t>
  </si>
  <si>
    <t xml:space="preserve">  SECTION 8 — Optional / Products Sellers Only</t>
  </si>
  <si>
    <t>PSC Codes (Product Service Codes)</t>
  </si>
  <si>
    <t>Required only if selling physical products. Service businesses skip this. Look up at acquisition.gov/psc-manual.</t>
  </si>
  <si>
    <t>GSA Schedule contract number</t>
  </si>
  <si>
    <t>If you already have a GSA Schedule contract, enter the number in Core Data.</t>
  </si>
  <si>
    <t>Prior CAGE Code (if you were registered before)</t>
  </si>
  <si>
    <t>Your CAGE code persists across re-registrations. Find it at sam.gov entity search.</t>
  </si>
  <si>
    <t>When all required items show "Done" — go to sam.gov  &gt;  Register Your Entity  &gt;  Get Started</t>
  </si>
  <si>
    <t>CAPTUREPILOT  ·  Quick Reference</t>
  </si>
  <si>
    <t>Key facts, contacts, and links · keep this tab open while you register</t>
  </si>
  <si>
    <t>KEY FACTS</t>
  </si>
  <si>
    <t>Cost</t>
  </si>
  <si>
    <t>$0 — registration is always free. Never pay a third party.</t>
  </si>
  <si>
    <t>UEI format</t>
  </si>
  <si>
    <t>12-character alphanumeric (e.g. A1B2C3D4E5F6)</t>
  </si>
  <si>
    <t>CAGE code</t>
  </si>
  <si>
    <t>Assigned automatically for U.S. entities within 3-5 business days</t>
  </si>
  <si>
    <t>Activation timeline</t>
  </si>
  <si>
    <t>10-14 business days after complete submission + notarized letter</t>
  </si>
  <si>
    <t>Registration validity</t>
  </si>
  <si>
    <t>365 days — must renew annually</t>
  </si>
  <si>
    <t>Renewal window</t>
  </si>
  <si>
    <t>Opens 60 days before expiration. Renew early.</t>
  </si>
  <si>
    <t>Notarized letter</t>
  </si>
  <si>
    <t>Submit to FSD.gov the same day you register. Do not wait for a reminder.</t>
  </si>
  <si>
    <t>2FA method</t>
  </si>
  <si>
    <t>Use authenticator app, not SMS text messages</t>
  </si>
  <si>
    <t>Address requirement</t>
  </si>
  <si>
    <t>Physical street address only. PO Boxes are rejected.</t>
  </si>
  <si>
    <t>IRS name match</t>
  </si>
  <si>
    <t>Must match IRS records exactly including commas and punctuation</t>
  </si>
  <si>
    <t>CONTACTS &amp; LINKS</t>
  </si>
  <si>
    <t>SAM.gov registration</t>
  </si>
  <si>
    <t>sam.gov/content/entity-registration</t>
  </si>
  <si>
    <t>Federal Service Desk</t>
  </si>
  <si>
    <t>fsd.gov   ·   Phone: 866-606-8220   ·   M-F 8 AM to 8 PM ET</t>
  </si>
  <si>
    <t>login.gov</t>
  </si>
  <si>
    <t>login.gov/create-an-account</t>
  </si>
  <si>
    <t>IRS Letter 147C</t>
  </si>
  <si>
    <t>Call 1-800-829-4933  &gt;  Option 1  &gt;  Option 3</t>
  </si>
  <si>
    <t>SBA size standards</t>
  </si>
  <si>
    <t>sba.gov/federal-contracting/contracting-guide/size-standards</t>
  </si>
  <si>
    <t>SBA Certify (8a, HUBZone, WOSB)</t>
  </si>
  <si>
    <t>certify.sba.gov</t>
  </si>
  <si>
    <t>VA CVE (SDVOSB)</t>
  </si>
  <si>
    <t>veteransmallbizce.va.gov</t>
  </si>
  <si>
    <t>NAICS code lookup</t>
  </si>
  <si>
    <t>census.gov/naics</t>
  </si>
  <si>
    <t>PSC manual</t>
  </si>
  <si>
    <t>acquisition.gov/psc-manual</t>
  </si>
  <si>
    <t>CapturePilot daily matches</t>
  </si>
  <si>
    <t>capturepilot.com</t>
  </si>
  <si>
    <t>REGISTRATION STATUS GUIDE</t>
  </si>
  <si>
    <t>Draft</t>
  </si>
  <si>
    <t>You started but have not submitted. Session expires in 30 days.</t>
  </si>
  <si>
    <t>Submitted</t>
  </si>
  <si>
    <t>In review queue. Do not bid on contracts yet.</t>
  </si>
  <si>
    <t>Work in Progress</t>
  </si>
  <si>
    <t>A reviewer flagged an issue. Check your email immediately.</t>
  </si>
  <si>
    <t>Active</t>
  </si>
  <si>
    <t>Registration complete. You can now bid on federal contracts.</t>
  </si>
  <si>
    <t>Expired</t>
  </si>
  <si>
    <t>Renewal overdue. Renew immediately. Active contracts may be paused.</t>
  </si>
  <si>
    <t>CAPTUREPILOT  ·  Registration Timeline — 10 to 14 Business Days</t>
  </si>
  <si>
    <t>Track your progress · check sam.gov daily until status shows ACTIVE</t>
  </si>
  <si>
    <t>Set your kickoff date below. Estimated dates auto-calculate from it.</t>
  </si>
  <si>
    <t>Kickoff date:</t>
  </si>
  <si>
    <t>Phase</t>
  </si>
  <si>
    <t>Action</t>
  </si>
  <si>
    <t>Est. Time</t>
  </si>
  <si>
    <t>Est. Date</t>
  </si>
  <si>
    <t>Notes / What to Watch For</t>
  </si>
  <si>
    <t>Before Day 1</t>
  </si>
  <si>
    <t>Gather all documents from Pre-Registration Checklist</t>
  </si>
  <si>
    <t>60-90 min</t>
  </si>
  <si>
    <t>Complete the Checklist tab fully before opening SAM.gov.</t>
  </si>
  <si>
    <t>Create login.gov account, enable 2FA, verify identity</t>
  </si>
  <si>
    <t>30-60 min</t>
  </si>
  <si>
    <t>Use authenticator app for 2FA. Have your photo ID ready.</t>
  </si>
  <si>
    <t>Download Notarized Letter template from FSD.gov</t>
  </si>
  <si>
    <t>15 min</t>
  </si>
  <si>
    <t>Download fresh each time — only use the current official template.</t>
  </si>
  <si>
    <t>Day 1</t>
  </si>
  <si>
    <t>Start entity registration at sam.gov</t>
  </si>
  <si>
    <t>45-90 min</t>
  </si>
  <si>
    <t>Save progress frequently. The session times out after inactivity.</t>
  </si>
  <si>
    <t>UEI auto-generated after EIN validates</t>
  </si>
  <si>
    <t>Same day</t>
  </si>
  <si>
    <t>Save your UEI immediately. Use it on all proposals going forward.</t>
  </si>
  <si>
    <t>Complete and notarize Entity Administrator Letter</t>
  </si>
  <si>
    <t>1-3 hours</t>
  </si>
  <si>
    <t>RON (Remote Online Notarization) accepted as of 2026.</t>
  </si>
  <si>
    <t>Submit Notarized Letter to FSD.gov as a case</t>
  </si>
  <si>
    <t>Save your FSD case number. This is your tracking ID.</t>
  </si>
  <si>
    <t>Days 1-2</t>
  </si>
  <si>
    <t>IRS validates EIN against legal business name</t>
  </si>
  <si>
    <t>1-2 biz days</t>
  </si>
  <si>
    <t>If rejected, check name match against IRS Letter 147C exactly.</t>
  </si>
  <si>
    <t>Days 3-5</t>
  </si>
  <si>
    <t>CAGE Code assigned automatically by DLA</t>
  </si>
  <si>
    <t>3-5 biz days</t>
  </si>
  <si>
    <t>No action needed. Happens in the background.</t>
  </si>
  <si>
    <t>Days 3-7</t>
  </si>
  <si>
    <t>FSD reviews and processes Notarized Letter</t>
  </si>
  <si>
    <t>3-7 biz days</t>
  </si>
  <si>
    <t>Call 866-606-8220 with your case number if no update after 7 days.</t>
  </si>
  <si>
    <t>Days 7-14</t>
  </si>
  <si>
    <t>Federal review and final activation processing</t>
  </si>
  <si>
    <t>7-10 biz days</t>
  </si>
  <si>
    <t>Check sam.gov daily. Status changes to ACTIVE when complete.</t>
  </si>
  <si>
    <t>Day 10-14</t>
  </si>
  <si>
    <t>Status changes to ACTIVE — registration complete</t>
  </si>
  <si>
    <t>Done!</t>
  </si>
  <si>
    <t>You can now respond to opportunities and receive contract awards.</t>
  </si>
  <si>
    <t>Day 14+</t>
  </si>
  <si>
    <t>Set annual renewal reminder on your calendar</t>
  </si>
  <si>
    <t>5 min</t>
  </si>
  <si>
    <t>Renewal window opens 60 days before your expiration date.</t>
  </si>
  <si>
    <t>CAPTUREPILOT  ·  How to use this workbook</t>
  </si>
  <si>
    <t>Five tabs · one job · cuts the SAM.gov error rate in half</t>
  </si>
  <si>
    <t>What this is</t>
  </si>
  <si>
    <t>A pre-flight checklist for SAM.gov entity registration. You collect everything on the Checklist tab BEFORE opening sam.gov. The Dashboard tab tells you when you are actually ready to start.</t>
  </si>
  <si>
    <t>The five tabs</t>
  </si>
  <si>
    <t>Dashboard — auto-calculated readiness score. Updates the moment you change a status on Checklist. Green when every required item is Done.</t>
  </si>
  <si>
    <t>Checklist — the working surface. 35 items across 8 sections. Set each "My Status" dropdown to Done, Need to get, or N/A.</t>
  </si>
  <si>
    <t>Quick Reference — every link, phone number, and fact you will need while filling out SAM.gov. Open this tab in a second window during registration.</t>
  </si>
  <si>
    <t>Timeline — set your kickoff date, the estimated dates for each phase recalculate automatically using WORKDAY (business days only).</t>
  </si>
  <si>
    <t>Instructions — this tab. Read it once.</t>
  </si>
  <si>
    <t>Workflow we recommend</t>
  </si>
  <si>
    <t>1. Open the Checklist tab. Walk every row, set status to Done or Need to get. Assign an owner in the rightmost column if you are doing this with a team.</t>
  </si>
  <si>
    <t>2. Check the Dashboard. Aim for 100% on the "Required-Only Completion" gauge before touching sam.gov. Items marked Recommended or If applicable do not block readiness.</t>
  </si>
  <si>
    <t>3. Open Timeline, set your kickoff date in the green cell. The estimated dates show when each phase should complete.</t>
  </si>
  <si>
    <t>4. Open sam.gov, register with the Quick Reference tab pinned in a second window.</t>
  </si>
  <si>
    <t>Why we built it this way</t>
  </si>
  <si>
    <t>I ran SAM.gov registrations for small businesses for two years before building CapturePilot. Same rejection reasons every time — EIN name mismatch by one comma, address listed as a PO Box, notary seal too blurry to scan. All preventable with a checklist done first. This is that checklist.</t>
  </si>
  <si>
    <t>A typical first-time SAM registration takes 10 to 14 business days from submission to ACTIVE. Add another 7 to 10 days if any document gets bounced. Get the documents right on the first try and you save two weeks.</t>
  </si>
  <si>
    <t>Compatibility</t>
  </si>
  <si>
    <t>Built to work in Microsoft Excel 2016+, Excel for Mac, Excel Online, and Google Sheets. All formulas avoid LAMBDA, XLOOKUP, and FILTER so older Excel does not choke. Dropdowns and conditional formatting survive both editors.</t>
  </si>
  <si>
    <t>Need more help</t>
  </si>
  <si>
    <t>Call the Federal Service Desk at 866-606-8220 (M-F 8 AM to 8 PM ET) or submit a case at fsd.gov. Both are free. For ongoing daily opportunity matches once you are registered, use capturepilot.com.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</si>
</sst>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1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i/>
      <color rgb="FF6B7280"/>
      <sz val="10"/>
      <name val="Calibri"/>
    </font>
    <font>
      <b/>
      <color rgb="FFFFFFFF"/>
      <sz val="9"/>
      <name val="Calibri"/>
    </font>
    <font>
      <b/>
      <color rgb="FF111827"/>
      <sz val="20"/>
      <name val="Calibri"/>
    </font>
    <font>
      <b/>
      <color rgb="FF10B981"/>
      <sz val="28"/>
      <name val="Calibri"/>
    </font>
    <font>
      <b/>
      <color rgb="FFFFFFFF"/>
      <sz val="11"/>
      <name val="Calibri"/>
    </font>
    <font>
      <b/>
      <color rgb="FFFFFFFF"/>
      <sz val="10"/>
      <name val="Calibri"/>
    </font>
    <font>
      <b/>
      <color rgb="FF111827"/>
      <sz val="14"/>
      <name val="Calibri"/>
    </font>
    <font>
      <i/>
      <color rgb="FF111827"/>
      <sz val="10"/>
      <name val="Calibri"/>
    </font>
    <font>
      <color rgb="FF6B7280"/>
      <sz val="9"/>
      <name val="Calibri"/>
    </font>
    <font>
      <b/>
      <color rgb="FF111827"/>
      <sz val="11"/>
      <name val="Calibri"/>
    </font>
    <font>
      <color rgb="FF111827"/>
      <sz val="10"/>
      <name val="Calibri"/>
    </font>
    <font>
      <b/>
      <sz val="10"/>
      <name val="Calibri"/>
    </font>
    <font>
      <b/>
      <color rgb="FF111827"/>
      <sz val="10"/>
      <name val="Calibri"/>
    </font>
    <font>
      <b/>
      <color rgb="FF10B981"/>
      <sz val="12"/>
      <name val="Calibri"/>
    </font>
    <font>
      <b/>
      <color rgb="FF0B2A4A"/>
      <sz val="10"/>
      <name val="Calibri"/>
    </font>
    <font>
      <color rgb="FF111827"/>
      <sz val="9"/>
      <name val="Calibri"/>
    </font>
    <font>
      <b/>
      <color rgb="FFFFFFFF"/>
      <sz val="12"/>
      <name val="Calibri"/>
    </font>
    <font>
      <color rgb="FF111827"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B2A4A"/>
      </patternFill>
    </fill>
    <fill>
      <patternFill patternType="solid">
        <fgColor rgb="FF111827"/>
      </patternFill>
    </fill>
    <fill>
      <patternFill patternType="solid">
        <fgColor rgb="FF10B981"/>
      </patternFill>
    </fill>
    <fill>
      <patternFill patternType="solid">
        <fgColor rgb="FFF59E0B"/>
      </patternFill>
    </fill>
    <fill>
      <patternFill patternType="solid">
        <fgColor rgb="FF6B728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9FAFB"/>
      </patternFill>
    </fill>
    <fill>
      <patternFill patternType="solid">
        <fgColor rgb="FFFAFAF9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9" fontId="5" fillId="7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9" fontId="6" fillId="8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 indent="1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left" vertical="center" indent="1"/>
    </xf>
    <xf numFmtId="0" fontId="0" fillId="9" borderId="1" xfId="0" applyFill="1" applyBorder="1" applyAlignment="1">
      <alignment horizontal="center" vertical="center"/>
    </xf>
    <xf numFmtId="9" fontId="0" fillId="9" borderId="1" xfId="0" applyNumberForma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inden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 indent="1"/>
    </xf>
    <xf numFmtId="0" fontId="13" fillId="0" borderId="1" xfId="0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 indent="1"/>
    </xf>
    <xf numFmtId="0" fontId="11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 indent="1"/>
    </xf>
    <xf numFmtId="0" fontId="13" fillId="9" borderId="1" xfId="0" applyFont="1" applyFill="1" applyBorder="1" applyAlignment="1">
      <alignment horizontal="left" vertical="center" wrapText="1" indent="1"/>
    </xf>
    <xf numFmtId="0" fontId="14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 indent="1"/>
    </xf>
    <xf numFmtId="0" fontId="7" fillId="4" borderId="0" xfId="0" applyFont="1" applyFill="1" applyAlignment="1">
      <alignment horizontal="center" vertical="center"/>
    </xf>
    <xf numFmtId="0" fontId="15" fillId="0" borderId="1" xfId="0" applyFont="1" applyBorder="1" applyAlignment="1">
      <alignment horizontal="left" vertical="center" wrapText="1" indent="1"/>
    </xf>
    <xf numFmtId="0" fontId="15" fillId="9" borderId="1" xfId="0" applyFont="1" applyFill="1" applyBorder="1" applyAlignment="1">
      <alignment horizontal="left" vertical="center" wrapText="1" indent="1"/>
    </xf>
    <xf numFmtId="0" fontId="3" fillId="0" borderId="0" xfId="0" applyFont="1"/>
    <xf numFmtId="0" fontId="12" fillId="0" borderId="0" xfId="0" applyFont="1" applyAlignment="1">
      <alignment horizontal="right" vertical="center"/>
    </xf>
    <xf numFmtId="164" fontId="16" fillId="8" borderId="1" xfId="0" applyNumberFormat="1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 indent="1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 indent="1"/>
    </xf>
    <xf numFmtId="0" fontId="17" fillId="9" borderId="1" xfId="0" applyFont="1" applyFill="1" applyBorder="1" applyAlignment="1">
      <alignment horizontal="left" vertical="center" wrapText="1" indent="1"/>
    </xf>
    <xf numFmtId="0" fontId="13" fillId="9" borderId="1" xfId="0" applyFont="1" applyFill="1" applyBorder="1" applyAlignment="1">
      <alignment horizontal="center" vertical="center"/>
    </xf>
    <xf numFmtId="164" fontId="13" fillId="9" borderId="1" xfId="0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 wrapText="1" indent="1"/>
    </xf>
    <xf numFmtId="0" fontId="19" fillId="4" borderId="0" xfId="0" applyFont="1" applyFill="1" applyAlignment="1">
      <alignment horizontal="left" vertical="center" indent="1"/>
    </xf>
    <xf numFmtId="0" fontId="20" fillId="0" borderId="0" xfId="0" applyFont="1" applyAlignment="1">
      <alignment horizontal="left" vertical="top" wrapText="1" indent="1"/>
    </xf>
  </cellXfs>
  <cellStyles count="1">
    <cellStyle name="Normal" xfId="0" builtinId="0"/>
  </cellStyles>
  <dxfs count="14">
    <dxf>
      <font>
        <b/>
        <color rgb="FF10B981"/>
      </font>
      <fill>
        <patternFill patternType="solid">
          <bgColor rgb="FFD1FAE5"/>
        </patternFill>
      </fill>
    </dxf>
    <dxf>
      <font>
        <b/>
        <color rgb="FFF59E0B"/>
      </font>
    </dxf>
    <dxf>
      <font>
        <b/>
        <color rgb="FFDC2626"/>
      </font>
    </dxf>
    <dxf>
      <font>
        <b/>
        <color rgb="FF10B981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0B981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color rgb="FF6B7280"/>
      </font>
    </dxf>
    <dxf>
      <font>
        <b/>
        <color rgb="FFDC2626"/>
      </font>
    </dxf>
    <dxf>
      <font>
        <b/>
        <color rgb="FFF59E0B"/>
      </font>
    </dxf>
    <dxf>
      <font>
        <i/>
        <color rgb="FF6B7280"/>
      </font>
    </dxf>
    <dxf>
      <font>
        <i/>
        <color rgb="FF6B7280"/>
      </font>
    </dxf>
    <dxf>
      <font>
        <b/>
        <color rgb="FF10B981"/>
      </font>
      <fill>
        <patternFill patternType="solid">
          <b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  <pageSetUpPr fitToPage="1"/>
  </sheetPr>
  <dimension ref="A1:F2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8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6" ht="18" customHeight="1" spans="2:6" x14ac:dyDescent="0.25">
      <c r="B6" s="4" t="s">
        <v>3</v>
      </c>
      <c r="C6" s="5" t="s">
        <v>4</v>
      </c>
      <c r="D6" s="6" t="s">
        <v>5</v>
      </c>
      <c r="E6" s="7" t="s">
        <v>6</v>
      </c>
      <c r="F6" s="8" t="s">
        <v>7</v>
      </c>
    </row>
    <row r="7" ht="36" customHeight="1" spans="2:6" x14ac:dyDescent="0.25">
      <c r="B7" s="9">
        <f>COUNTA(Checklist!D6:D45)</f>
      </c>
      <c r="C7" s="9">
        <f>COUNTIF(Checklist!E6:E45,"Done")</f>
      </c>
      <c r="D7" s="9">
        <f>COUNTIF(Checklist!E6:E45,"Need to get")</f>
      </c>
      <c r="E7" s="9">
        <f>COUNTIF(Checklist!E6:E45,"N/A")</f>
      </c>
      <c r="F7" s="10">
        <f>IFERROR(COUNTIF(Checklist!E6:E45,"Done")/COUNTA(Checklist!D6:D45),0)</f>
      </c>
    </row>
    <row r="10" ht="16" customHeight="1" spans="2:6" x14ac:dyDescent="0.25">
      <c r="B10" s="11" t="s">
        <v>8</v>
      </c>
      <c r="C10" s="11"/>
      <c r="D10" s="11"/>
      <c r="E10" s="11"/>
      <c r="F10" s="11"/>
    </row>
    <row r="11" ht="40" customHeight="1" spans="2:6" x14ac:dyDescent="0.25">
      <c r="B11" s="12">
        <f>IFERROR(COUNTIFS(Checklist!D6:D45,"Required",Checklist!E6:E45,"Done")/COUNTIF(Checklist!D6:D45,"Required"),0)</f>
      </c>
      <c r="C11" s="12"/>
      <c r="D11" s="12"/>
      <c r="E11" s="12"/>
      <c r="F11" s="12"/>
    </row>
    <row r="13" ht="20" customHeight="1" spans="2:6" x14ac:dyDescent="0.25">
      <c r="B13" s="13" t="s">
        <v>9</v>
      </c>
      <c r="C13" s="13"/>
      <c r="D13" s="13"/>
      <c r="E13" s="13"/>
      <c r="F13" s="13"/>
    </row>
    <row r="14" spans="2:6" x14ac:dyDescent="0.25">
      <c r="B14" s="14" t="s">
        <v>10</v>
      </c>
      <c r="C14" s="14" t="s">
        <v>11</v>
      </c>
      <c r="D14" s="14" t="s">
        <v>12</v>
      </c>
      <c r="E14" s="14" t="s">
        <v>13</v>
      </c>
      <c r="F14" s="14" t="s">
        <v>14</v>
      </c>
    </row>
    <row r="15" ht="18" customHeight="1" spans="2:6" x14ac:dyDescent="0.25">
      <c r="B15" s="15" t="s">
        <v>15</v>
      </c>
      <c r="C15" s="16">
        <f>COUNTA(Checklist!D6:D12)</f>
      </c>
      <c r="D15" s="16">
        <f>COUNTIF(Checklist!E6:E12,"Done")</f>
      </c>
      <c r="E15" s="16">
        <f>COUNTIF(Checklist!E6:E12,"Need to get")</f>
      </c>
      <c r="F15" s="17">
        <f>IFERROR(COUNTIF(Checklist!E6:E12,"Done")/COUNTA(Checklist!D6:D12),0)</f>
      </c>
    </row>
    <row r="16" ht="18" customHeight="1" spans="2:6" x14ac:dyDescent="0.25">
      <c r="B16" s="18" t="s">
        <v>16</v>
      </c>
      <c r="C16" s="19">
        <f>COUNTA(Checklist!D14:D17)</f>
      </c>
      <c r="D16" s="19">
        <f>COUNTIF(Checklist!E14:E17,"Done")</f>
      </c>
      <c r="E16" s="19">
        <f>COUNTIF(Checklist!E14:E17,"Need to get")</f>
      </c>
      <c r="F16" s="20">
        <f>IFERROR(COUNTIF(Checklist!E14:E17,"Done")/COUNTA(Checklist!D14:D17),0)</f>
      </c>
    </row>
    <row r="17" ht="18" customHeight="1" spans="2:6" x14ac:dyDescent="0.25">
      <c r="B17" s="15" t="s">
        <v>17</v>
      </c>
      <c r="C17" s="16">
        <f>COUNTA(Checklist!D19:D21)</f>
      </c>
      <c r="D17" s="16">
        <f>COUNTIF(Checklist!E19:E21,"Done")</f>
      </c>
      <c r="E17" s="16">
        <f>COUNTIF(Checklist!E19:E21,"Need to get")</f>
      </c>
      <c r="F17" s="17">
        <f>IFERROR(COUNTIF(Checklist!E19:E21,"Done")/COUNTA(Checklist!D19:D21),0)</f>
      </c>
    </row>
    <row r="18" ht="18" customHeight="1" spans="2:6" x14ac:dyDescent="0.25">
      <c r="B18" s="18" t="s">
        <v>18</v>
      </c>
      <c r="C18" s="19">
        <f>COUNTA(Checklist!D23:D26)</f>
      </c>
      <c r="D18" s="19">
        <f>COUNTIF(Checklist!E23:E26,"Done")</f>
      </c>
      <c r="E18" s="19">
        <f>COUNTIF(Checklist!E23:E26,"Need to get")</f>
      </c>
      <c r="F18" s="20">
        <f>IFERROR(COUNTIF(Checklist!E23:E26,"Done")/COUNTA(Checklist!D23:D26),0)</f>
      </c>
    </row>
    <row r="19" ht="18" customHeight="1" spans="2:6" x14ac:dyDescent="0.25">
      <c r="B19" s="15" t="s">
        <v>19</v>
      </c>
      <c r="C19" s="16">
        <f>COUNTA(Checklist!D28:D31)</f>
      </c>
      <c r="D19" s="16">
        <f>COUNTIF(Checklist!E28:E31,"Done")</f>
      </c>
      <c r="E19" s="16">
        <f>COUNTIF(Checklist!E28:E31,"Need to get")</f>
      </c>
      <c r="F19" s="17">
        <f>IFERROR(COUNTIF(Checklist!E28:E31,"Done")/COUNTA(Checklist!D28:D31),0)</f>
      </c>
    </row>
    <row r="20" ht="18" customHeight="1" spans="2:6" x14ac:dyDescent="0.25">
      <c r="B20" s="18" t="s">
        <v>20</v>
      </c>
      <c r="C20" s="19">
        <f>COUNTA(Checklist!D33:D36)</f>
      </c>
      <c r="D20" s="19">
        <f>COUNTIF(Checklist!E33:E36,"Done")</f>
      </c>
      <c r="E20" s="19">
        <f>COUNTIF(Checklist!E33:E36,"Need to get")</f>
      </c>
      <c r="F20" s="20">
        <f>IFERROR(COUNTIF(Checklist!E33:E36,"Done")/COUNTA(Checklist!D33:D36),0)</f>
      </c>
    </row>
    <row r="21" ht="18" customHeight="1" spans="2:6" x14ac:dyDescent="0.25">
      <c r="B21" s="15" t="s">
        <v>21</v>
      </c>
      <c r="C21" s="16">
        <f>COUNTA(Checklist!D38:D41)</f>
      </c>
      <c r="D21" s="16">
        <f>COUNTIF(Checklist!E38:E41,"Done")</f>
      </c>
      <c r="E21" s="16">
        <f>COUNTIF(Checklist!E38:E41,"Need to get")</f>
      </c>
      <c r="F21" s="17">
        <f>IFERROR(COUNTIF(Checklist!E38:E41,"Done")/COUNTA(Checklist!D38:D41),0)</f>
      </c>
    </row>
    <row r="22" ht="18" customHeight="1" spans="2:6" x14ac:dyDescent="0.25">
      <c r="B22" s="18" t="s">
        <v>22</v>
      </c>
      <c r="C22" s="19">
        <f>COUNTA(Checklist!D43:D45)</f>
      </c>
      <c r="D22" s="19">
        <f>COUNTIF(Checklist!E43:E45,"Done")</f>
      </c>
      <c r="E22" s="19">
        <f>COUNTIF(Checklist!E43:E45,"Need to get")</f>
      </c>
      <c r="F22" s="20">
        <f>IFERROR(COUNTIF(Checklist!E43:E45,"Done")/COUNTA(Checklist!D43:D45),0)</f>
      </c>
    </row>
    <row r="24" ht="20" customHeight="1" spans="2:6" x14ac:dyDescent="0.25">
      <c r="B24" s="13" t="s">
        <v>23</v>
      </c>
      <c r="C24" s="13"/>
      <c r="D24" s="13"/>
      <c r="E24" s="13"/>
      <c r="F24" s="13"/>
    </row>
    <row r="25" ht="46" customHeight="1" spans="2:6" x14ac:dyDescent="0.25">
      <c r="B25" s="21">
        <f>IF(COUNTIFS(Checklist!D6:D45,"Required",Checklist!E6:E45,"Done")=COUNTIF(Checklist!D6:D45,"Required"),"READY — open sam.gov and start your registration",IF(COUNTIFS(Checklist!D6:D45,"Required",Checklist!E6:E45,"Done")/COUNTIF(Checklist!D6:D45,"Required")&gt;=0.7,"ALMOST THERE — finish the last few required items first","NOT YET — keep collecting documents. Do not start SAM.gov until required items are Done."))</f>
      </c>
      <c r="C25" s="21"/>
      <c r="D25" s="21"/>
      <c r="E25" s="21"/>
      <c r="F25" s="21"/>
    </row>
  </sheetData>
  <mergeCells count="8">
    <mergeCell ref="A1:F1"/>
    <mergeCell ref="A2:F2"/>
    <mergeCell ref="A4:F4"/>
    <mergeCell ref="B10:F10"/>
    <mergeCell ref="B11:F11"/>
    <mergeCell ref="B13:F13"/>
    <mergeCell ref="B24:F24"/>
    <mergeCell ref="B25:F25"/>
  </mergeCells>
  <conditionalFormatting sqref="F15:F22">
    <cfRule type="cellIs" dxfId="0" priority="1" operator="greaterThanOrEqual">
      <formula>1</formula>
    </cfRule>
    <cfRule type="cellIs" dxfId="1" priority="2" operator="between">
      <formula>0.5</formula>
      <formula>0.999</formula>
    </cfRule>
    <cfRule type="cellIs" dxfId="2" priority="3" operator="lessThan">
      <formula>0.5</formula>
    </cfRule>
  </conditionalFormatting>
  <conditionalFormatting sqref="B25:F25">
    <cfRule type="containsText" dxfId="3" priority="1">
      <formula>NOT(ISERROR(SEARCH("READY —",B25)))</formula>
    </cfRule>
    <cfRule type="containsText" dxfId="4" priority="2">
      <formula>NOT(ISERROR(SEARCH("ALMOST",B25)))</formula>
    </cfRule>
    <cfRule type="containsText" dxfId="5" priority="3">
      <formula>NOT(ISERROR(SEARCH("NOT YET",B25)))</formula>
    </cfRule>
  </conditionalFormatting>
  <pageMargins left="0.4" right="0.4" top="0.6" bottom="0.6" header="0.3" footer="0.3"/>
  <pageSetup paperSize="9" orientation="portrait" fitToWidth="1" fitToHeight="0"/>
  <headerFooter>
    <oddFooter>&amp;L&amp;"Calibri"&amp;9&amp;K6B7280CapturePilot Federal Launch Kit · Doc 01-B&amp;C&amp;"Calibri"&amp;9&amp;K6B7280capturepilot.com&amp;R&amp;"Calibri"&amp;9&amp;K6B7280Page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A4A"/>
    <pageSetUpPr fitToPage="1"/>
  </sheetPr>
  <dimension ref="A1:F48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38" customWidth="1"/>
    <col min="3" max="3" width="46" customWidth="1"/>
    <col min="4" max="5" width="16" customWidth="1"/>
    <col min="6" max="6" width="28" customWidth="1"/>
  </cols>
  <sheetData>
    <row r="1" ht="30" customHeight="1" spans="1:6" x14ac:dyDescent="0.25">
      <c r="A1" s="1" t="s">
        <v>24</v>
      </c>
      <c r="B1" s="1"/>
      <c r="C1" s="1"/>
      <c r="D1" s="1"/>
      <c r="E1" s="1"/>
      <c r="F1" s="1"/>
    </row>
    <row r="2" ht="18" customHeight="1" spans="1:6" x14ac:dyDescent="0.25">
      <c r="A2" s="2" t="s">
        <v>25</v>
      </c>
      <c r="B2" s="2"/>
      <c r="C2" s="2"/>
      <c r="D2" s="2"/>
      <c r="E2" s="2"/>
      <c r="F2" s="2"/>
    </row>
    <row r="3" ht="30" customHeight="1" spans="1:6" x14ac:dyDescent="0.25">
      <c r="A3" s="22" t="s">
        <v>26</v>
      </c>
      <c r="B3" s="22"/>
      <c r="C3" s="22"/>
      <c r="D3" s="22"/>
      <c r="E3" s="22"/>
      <c r="F3" s="22"/>
    </row>
    <row r="5" ht="22" customHeight="1" spans="1:6" x14ac:dyDescent="0.25">
      <c r="A5" s="23" t="s">
        <v>27</v>
      </c>
      <c r="B5" s="23" t="s">
        <v>28</v>
      </c>
      <c r="C5" s="23" t="s">
        <v>29</v>
      </c>
      <c r="D5" s="23" t="s">
        <v>30</v>
      </c>
      <c r="E5" s="23" t="s">
        <v>31</v>
      </c>
      <c r="F5" s="23" t="s">
        <v>32</v>
      </c>
    </row>
    <row r="6" ht="22" customHeight="1" spans="1:6" x14ac:dyDescent="0.25">
      <c r="A6" s="13" t="s">
        <v>33</v>
      </c>
      <c r="B6" s="13"/>
      <c r="C6" s="13"/>
      <c r="D6" s="13"/>
      <c r="E6" s="13"/>
      <c r="F6" s="13"/>
    </row>
    <row r="7" ht="34" customHeight="1" spans="1:6" x14ac:dyDescent="0.25">
      <c r="A7" s="24">
        <v>1</v>
      </c>
      <c r="B7" s="25" t="s">
        <v>34</v>
      </c>
      <c r="C7" s="26" t="s">
        <v>35</v>
      </c>
      <c r="D7" s="27" t="s">
        <v>36</v>
      </c>
      <c r="E7" s="27" t="s">
        <v>37</v>
      </c>
      <c r="F7" s="28" t="s">
        <v>37</v>
      </c>
    </row>
    <row r="8" ht="34" customHeight="1" spans="1:6" x14ac:dyDescent="0.25">
      <c r="A8" s="29">
        <v>2</v>
      </c>
      <c r="B8" s="30" t="s">
        <v>38</v>
      </c>
      <c r="C8" s="31" t="s">
        <v>39</v>
      </c>
      <c r="D8" s="32" t="s">
        <v>36</v>
      </c>
      <c r="E8" s="32" t="s">
        <v>37</v>
      </c>
      <c r="F8" s="33" t="s">
        <v>37</v>
      </c>
    </row>
    <row r="9" ht="34" customHeight="1" spans="1:6" x14ac:dyDescent="0.25">
      <c r="A9" s="24">
        <v>3</v>
      </c>
      <c r="B9" s="25" t="s">
        <v>40</v>
      </c>
      <c r="C9" s="26" t="s">
        <v>41</v>
      </c>
      <c r="D9" s="27" t="s">
        <v>36</v>
      </c>
      <c r="E9" s="27" t="s">
        <v>37</v>
      </c>
      <c r="F9" s="28" t="s">
        <v>37</v>
      </c>
    </row>
    <row r="10" ht="34" customHeight="1" spans="1:6" x14ac:dyDescent="0.25">
      <c r="A10" s="29">
        <v>4</v>
      </c>
      <c r="B10" s="30" t="s">
        <v>42</v>
      </c>
      <c r="C10" s="31" t="s">
        <v>43</v>
      </c>
      <c r="D10" s="32" t="s">
        <v>36</v>
      </c>
      <c r="E10" s="32" t="s">
        <v>37</v>
      </c>
      <c r="F10" s="33" t="s">
        <v>37</v>
      </c>
    </row>
    <row r="11" ht="34" customHeight="1" spans="1:6" x14ac:dyDescent="0.25">
      <c r="A11" s="24">
        <v>5</v>
      </c>
      <c r="B11" s="25" t="s">
        <v>44</v>
      </c>
      <c r="C11" s="26" t="s">
        <v>45</v>
      </c>
      <c r="D11" s="27" t="s">
        <v>36</v>
      </c>
      <c r="E11" s="27" t="s">
        <v>37</v>
      </c>
      <c r="F11" s="28" t="s">
        <v>37</v>
      </c>
    </row>
    <row r="12" ht="34" customHeight="1" spans="1:6" x14ac:dyDescent="0.25">
      <c r="A12" s="29">
        <v>6</v>
      </c>
      <c r="B12" s="30" t="s">
        <v>46</v>
      </c>
      <c r="C12" s="31" t="s">
        <v>47</v>
      </c>
      <c r="D12" s="32" t="s">
        <v>36</v>
      </c>
      <c r="E12" s="32" t="s">
        <v>37</v>
      </c>
      <c r="F12" s="33" t="s">
        <v>37</v>
      </c>
    </row>
    <row r="13" ht="34" customHeight="1" spans="1:6" x14ac:dyDescent="0.25">
      <c r="A13" s="24">
        <v>7</v>
      </c>
      <c r="B13" s="25" t="s">
        <v>48</v>
      </c>
      <c r="C13" s="26" t="s">
        <v>49</v>
      </c>
      <c r="D13" s="27" t="s">
        <v>36</v>
      </c>
      <c r="E13" s="27" t="s">
        <v>37</v>
      </c>
      <c r="F13" s="28" t="s">
        <v>37</v>
      </c>
    </row>
    <row r="14" ht="22" customHeight="1" spans="1:6" x14ac:dyDescent="0.25">
      <c r="A14" s="13" t="s">
        <v>50</v>
      </c>
      <c r="B14" s="13"/>
      <c r="C14" s="13"/>
      <c r="D14" s="13"/>
      <c r="E14" s="13"/>
      <c r="F14" s="13"/>
    </row>
    <row r="15" ht="34" customHeight="1" spans="1:6" x14ac:dyDescent="0.25">
      <c r="A15" s="29">
        <v>8</v>
      </c>
      <c r="B15" s="30" t="s">
        <v>51</v>
      </c>
      <c r="C15" s="31" t="s">
        <v>52</v>
      </c>
      <c r="D15" s="32" t="s">
        <v>36</v>
      </c>
      <c r="E15" s="32" t="s">
        <v>37</v>
      </c>
      <c r="F15" s="33" t="s">
        <v>37</v>
      </c>
    </row>
    <row r="16" ht="34" customHeight="1" spans="1:6" x14ac:dyDescent="0.25">
      <c r="A16" s="24">
        <v>9</v>
      </c>
      <c r="B16" s="25" t="s">
        <v>53</v>
      </c>
      <c r="C16" s="26" t="s">
        <v>54</v>
      </c>
      <c r="D16" s="27" t="s">
        <v>36</v>
      </c>
      <c r="E16" s="27" t="s">
        <v>37</v>
      </c>
      <c r="F16" s="28" t="s">
        <v>37</v>
      </c>
    </row>
    <row r="17" ht="34" customHeight="1" spans="1:6" x14ac:dyDescent="0.25">
      <c r="A17" s="29">
        <v>10</v>
      </c>
      <c r="B17" s="30" t="s">
        <v>55</v>
      </c>
      <c r="C17" s="31" t="s">
        <v>56</v>
      </c>
      <c r="D17" s="32" t="s">
        <v>36</v>
      </c>
      <c r="E17" s="32" t="s">
        <v>37</v>
      </c>
      <c r="F17" s="33" t="s">
        <v>37</v>
      </c>
    </row>
    <row r="18" ht="34" customHeight="1" spans="1:6" x14ac:dyDescent="0.25">
      <c r="A18" s="24">
        <v>11</v>
      </c>
      <c r="B18" s="25" t="s">
        <v>57</v>
      </c>
      <c r="C18" s="26" t="s">
        <v>58</v>
      </c>
      <c r="D18" s="27" t="s">
        <v>36</v>
      </c>
      <c r="E18" s="27" t="s">
        <v>37</v>
      </c>
      <c r="F18" s="28" t="s">
        <v>37</v>
      </c>
    </row>
    <row r="19" ht="22" customHeight="1" spans="1:6" x14ac:dyDescent="0.25">
      <c r="A19" s="13" t="s">
        <v>59</v>
      </c>
      <c r="B19" s="13"/>
      <c r="C19" s="13"/>
      <c r="D19" s="13"/>
      <c r="E19" s="13"/>
      <c r="F19" s="13"/>
    </row>
    <row r="20" ht="34" customHeight="1" spans="1:6" x14ac:dyDescent="0.25">
      <c r="A20" s="29">
        <v>12</v>
      </c>
      <c r="B20" s="30" t="s">
        <v>60</v>
      </c>
      <c r="C20" s="31" t="s">
        <v>61</v>
      </c>
      <c r="D20" s="32" t="s">
        <v>36</v>
      </c>
      <c r="E20" s="32" t="s">
        <v>37</v>
      </c>
      <c r="F20" s="33" t="s">
        <v>37</v>
      </c>
    </row>
    <row r="21" ht="34" customHeight="1" spans="1:6" x14ac:dyDescent="0.25">
      <c r="A21" s="24">
        <v>13</v>
      </c>
      <c r="B21" s="25" t="s">
        <v>62</v>
      </c>
      <c r="C21" s="26" t="s">
        <v>63</v>
      </c>
      <c r="D21" s="27" t="s">
        <v>36</v>
      </c>
      <c r="E21" s="27" t="s">
        <v>37</v>
      </c>
      <c r="F21" s="28" t="s">
        <v>37</v>
      </c>
    </row>
    <row r="22" ht="34" customHeight="1" spans="1:6" x14ac:dyDescent="0.25">
      <c r="A22" s="29">
        <v>14</v>
      </c>
      <c r="B22" s="30" t="s">
        <v>64</v>
      </c>
      <c r="C22" s="31" t="s">
        <v>65</v>
      </c>
      <c r="D22" s="32" t="s">
        <v>66</v>
      </c>
      <c r="E22" s="32" t="s">
        <v>37</v>
      </c>
      <c r="F22" s="33" t="s">
        <v>37</v>
      </c>
    </row>
    <row r="23" ht="22" customHeight="1" spans="1:6" x14ac:dyDescent="0.25">
      <c r="A23" s="13" t="s">
        <v>67</v>
      </c>
      <c r="B23" s="13"/>
      <c r="C23" s="13"/>
      <c r="D23" s="13"/>
      <c r="E23" s="13"/>
      <c r="F23" s="13"/>
    </row>
    <row r="24" ht="34" customHeight="1" spans="1:6" x14ac:dyDescent="0.25">
      <c r="A24" s="24">
        <v>15</v>
      </c>
      <c r="B24" s="25" t="s">
        <v>68</v>
      </c>
      <c r="C24" s="26" t="s">
        <v>69</v>
      </c>
      <c r="D24" s="27" t="s">
        <v>36</v>
      </c>
      <c r="E24" s="27" t="s">
        <v>37</v>
      </c>
      <c r="F24" s="28" t="s">
        <v>37</v>
      </c>
    </row>
    <row r="25" ht="34" customHeight="1" spans="1:6" x14ac:dyDescent="0.25">
      <c r="A25" s="29">
        <v>16</v>
      </c>
      <c r="B25" s="30" t="s">
        <v>70</v>
      </c>
      <c r="C25" s="31" t="s">
        <v>71</v>
      </c>
      <c r="D25" s="32" t="s">
        <v>36</v>
      </c>
      <c r="E25" s="32" t="s">
        <v>37</v>
      </c>
      <c r="F25" s="33" t="s">
        <v>37</v>
      </c>
    </row>
    <row r="26" ht="34" customHeight="1" spans="1:6" x14ac:dyDescent="0.25">
      <c r="A26" s="24">
        <v>17</v>
      </c>
      <c r="B26" s="25" t="s">
        <v>72</v>
      </c>
      <c r="C26" s="26" t="s">
        <v>73</v>
      </c>
      <c r="D26" s="27" t="s">
        <v>36</v>
      </c>
      <c r="E26" s="27" t="s">
        <v>37</v>
      </c>
      <c r="F26" s="28" t="s">
        <v>37</v>
      </c>
    </row>
    <row r="27" ht="34" customHeight="1" spans="1:6" x14ac:dyDescent="0.25">
      <c r="A27" s="29">
        <v>18</v>
      </c>
      <c r="B27" s="30" t="s">
        <v>74</v>
      </c>
      <c r="C27" s="31" t="s">
        <v>75</v>
      </c>
      <c r="D27" s="32" t="s">
        <v>36</v>
      </c>
      <c r="E27" s="32" t="s">
        <v>37</v>
      </c>
      <c r="F27" s="33" t="s">
        <v>37</v>
      </c>
    </row>
    <row r="28" ht="22" customHeight="1" spans="1:6" x14ac:dyDescent="0.25">
      <c r="A28" s="13" t="s">
        <v>76</v>
      </c>
      <c r="B28" s="13"/>
      <c r="C28" s="13"/>
      <c r="D28" s="13"/>
      <c r="E28" s="13"/>
      <c r="F28" s="13"/>
    </row>
    <row r="29" ht="34" customHeight="1" spans="1:6" x14ac:dyDescent="0.25">
      <c r="A29" s="24">
        <v>19</v>
      </c>
      <c r="B29" s="25" t="s">
        <v>77</v>
      </c>
      <c r="C29" s="26" t="s">
        <v>78</v>
      </c>
      <c r="D29" s="27" t="s">
        <v>79</v>
      </c>
      <c r="E29" s="27" t="s">
        <v>37</v>
      </c>
      <c r="F29" s="28" t="s">
        <v>37</v>
      </c>
    </row>
    <row r="30" ht="34" customHeight="1" spans="1:6" x14ac:dyDescent="0.25">
      <c r="A30" s="29">
        <v>20</v>
      </c>
      <c r="B30" s="30" t="s">
        <v>80</v>
      </c>
      <c r="C30" s="31" t="s">
        <v>81</v>
      </c>
      <c r="D30" s="32" t="s">
        <v>79</v>
      </c>
      <c r="E30" s="32" t="s">
        <v>37</v>
      </c>
      <c r="F30" s="33" t="s">
        <v>37</v>
      </c>
    </row>
    <row r="31" ht="34" customHeight="1" spans="1:6" x14ac:dyDescent="0.25">
      <c r="A31" s="24">
        <v>21</v>
      </c>
      <c r="B31" s="25" t="s">
        <v>82</v>
      </c>
      <c r="C31" s="26" t="s">
        <v>83</v>
      </c>
      <c r="D31" s="27" t="s">
        <v>79</v>
      </c>
      <c r="E31" s="27" t="s">
        <v>37</v>
      </c>
      <c r="F31" s="28" t="s">
        <v>37</v>
      </c>
    </row>
    <row r="32" ht="34" customHeight="1" spans="1:6" x14ac:dyDescent="0.25">
      <c r="A32" s="29">
        <v>22</v>
      </c>
      <c r="B32" s="30" t="s">
        <v>84</v>
      </c>
      <c r="C32" s="31" t="s">
        <v>85</v>
      </c>
      <c r="D32" s="32" t="s">
        <v>79</v>
      </c>
      <c r="E32" s="32" t="s">
        <v>37</v>
      </c>
      <c r="F32" s="33" t="s">
        <v>37</v>
      </c>
    </row>
    <row r="33" ht="22" customHeight="1" spans="1:6" x14ac:dyDescent="0.25">
      <c r="A33" s="13" t="s">
        <v>86</v>
      </c>
      <c r="B33" s="13"/>
      <c r="C33" s="13"/>
      <c r="D33" s="13"/>
      <c r="E33" s="13"/>
      <c r="F33" s="13"/>
    </row>
    <row r="34" ht="34" customHeight="1" spans="1:6" x14ac:dyDescent="0.25">
      <c r="A34" s="24">
        <v>23</v>
      </c>
      <c r="B34" s="25" t="s">
        <v>87</v>
      </c>
      <c r="C34" s="26" t="s">
        <v>88</v>
      </c>
      <c r="D34" s="27" t="s">
        <v>36</v>
      </c>
      <c r="E34" s="27" t="s">
        <v>37</v>
      </c>
      <c r="F34" s="28" t="s">
        <v>37</v>
      </c>
    </row>
    <row r="35" ht="34" customHeight="1" spans="1:6" x14ac:dyDescent="0.25">
      <c r="A35" s="29">
        <v>24</v>
      </c>
      <c r="B35" s="30" t="s">
        <v>89</v>
      </c>
      <c r="C35" s="31" t="s">
        <v>90</v>
      </c>
      <c r="D35" s="32" t="s">
        <v>36</v>
      </c>
      <c r="E35" s="32" t="s">
        <v>37</v>
      </c>
      <c r="F35" s="33" t="s">
        <v>37</v>
      </c>
    </row>
    <row r="36" ht="34" customHeight="1" spans="1:6" x14ac:dyDescent="0.25">
      <c r="A36" s="24">
        <v>25</v>
      </c>
      <c r="B36" s="25" t="s">
        <v>91</v>
      </c>
      <c r="C36" s="26" t="s">
        <v>92</v>
      </c>
      <c r="D36" s="27" t="s">
        <v>36</v>
      </c>
      <c r="E36" s="27" t="s">
        <v>37</v>
      </c>
      <c r="F36" s="28" t="s">
        <v>37</v>
      </c>
    </row>
    <row r="37" ht="34" customHeight="1" spans="1:6" x14ac:dyDescent="0.25">
      <c r="A37" s="29">
        <v>26</v>
      </c>
      <c r="B37" s="30" t="s">
        <v>93</v>
      </c>
      <c r="C37" s="31" t="s">
        <v>94</v>
      </c>
      <c r="D37" s="32" t="s">
        <v>36</v>
      </c>
      <c r="E37" s="32" t="s">
        <v>37</v>
      </c>
      <c r="F37" s="33" t="s">
        <v>37</v>
      </c>
    </row>
    <row r="38" ht="22" customHeight="1" spans="1:6" x14ac:dyDescent="0.25">
      <c r="A38" s="13" t="s">
        <v>95</v>
      </c>
      <c r="B38" s="13"/>
      <c r="C38" s="13"/>
      <c r="D38" s="13"/>
      <c r="E38" s="13"/>
      <c r="F38" s="13"/>
    </row>
    <row r="39" ht="34" customHeight="1" spans="1:6" x14ac:dyDescent="0.25">
      <c r="A39" s="24">
        <v>27</v>
      </c>
      <c r="B39" s="25" t="s">
        <v>96</v>
      </c>
      <c r="C39" s="26" t="s">
        <v>97</v>
      </c>
      <c r="D39" s="27" t="s">
        <v>36</v>
      </c>
      <c r="E39" s="27" t="s">
        <v>37</v>
      </c>
      <c r="F39" s="28" t="s">
        <v>37</v>
      </c>
    </row>
    <row r="40" ht="34" customHeight="1" spans="1:6" x14ac:dyDescent="0.25">
      <c r="A40" s="29">
        <v>28</v>
      </c>
      <c r="B40" s="30" t="s">
        <v>98</v>
      </c>
      <c r="C40" s="31" t="s">
        <v>99</v>
      </c>
      <c r="D40" s="32" t="s">
        <v>36</v>
      </c>
      <c r="E40" s="32" t="s">
        <v>37</v>
      </c>
      <c r="F40" s="33" t="s">
        <v>37</v>
      </c>
    </row>
    <row r="41" ht="34" customHeight="1" spans="1:6" x14ac:dyDescent="0.25">
      <c r="A41" s="24">
        <v>29</v>
      </c>
      <c r="B41" s="25" t="s">
        <v>100</v>
      </c>
      <c r="C41" s="26" t="s">
        <v>101</v>
      </c>
      <c r="D41" s="27" t="s">
        <v>36</v>
      </c>
      <c r="E41" s="27" t="s">
        <v>37</v>
      </c>
      <c r="F41" s="28" t="s">
        <v>37</v>
      </c>
    </row>
    <row r="42" ht="34" customHeight="1" spans="1:6" x14ac:dyDescent="0.25">
      <c r="A42" s="29">
        <v>30</v>
      </c>
      <c r="B42" s="30" t="s">
        <v>102</v>
      </c>
      <c r="C42" s="31" t="s">
        <v>103</v>
      </c>
      <c r="D42" s="32" t="s">
        <v>36</v>
      </c>
      <c r="E42" s="32" t="s">
        <v>37</v>
      </c>
      <c r="F42" s="33" t="s">
        <v>37</v>
      </c>
    </row>
    <row r="43" ht="22" customHeight="1" spans="1:6" x14ac:dyDescent="0.25">
      <c r="A43" s="13" t="s">
        <v>104</v>
      </c>
      <c r="B43" s="13"/>
      <c r="C43" s="13"/>
      <c r="D43" s="13"/>
      <c r="E43" s="13"/>
      <c r="F43" s="13"/>
    </row>
    <row r="44" ht="34" customHeight="1" spans="1:6" x14ac:dyDescent="0.25">
      <c r="A44" s="24">
        <v>31</v>
      </c>
      <c r="B44" s="25" t="s">
        <v>105</v>
      </c>
      <c r="C44" s="26" t="s">
        <v>106</v>
      </c>
      <c r="D44" s="27" t="s">
        <v>79</v>
      </c>
      <c r="E44" s="27" t="s">
        <v>37</v>
      </c>
      <c r="F44" s="28" t="s">
        <v>37</v>
      </c>
    </row>
    <row r="45" ht="34" customHeight="1" spans="1:6" x14ac:dyDescent="0.25">
      <c r="A45" s="29">
        <v>32</v>
      </c>
      <c r="B45" s="30" t="s">
        <v>107</v>
      </c>
      <c r="C45" s="31" t="s">
        <v>108</v>
      </c>
      <c r="D45" s="32" t="s">
        <v>79</v>
      </c>
      <c r="E45" s="32" t="s">
        <v>37</v>
      </c>
      <c r="F45" s="33" t="s">
        <v>37</v>
      </c>
    </row>
    <row r="46" ht="34" customHeight="1" spans="1:6" x14ac:dyDescent="0.25">
      <c r="A46" s="24">
        <v>33</v>
      </c>
      <c r="B46" s="25" t="s">
        <v>109</v>
      </c>
      <c r="C46" s="26" t="s">
        <v>110</v>
      </c>
      <c r="D46" s="27" t="s">
        <v>79</v>
      </c>
      <c r="E46" s="27" t="s">
        <v>37</v>
      </c>
      <c r="F46" s="28" t="s">
        <v>37</v>
      </c>
    </row>
    <row r="48" ht="26" customHeight="1" spans="1:6" x14ac:dyDescent="0.25">
      <c r="A48" s="34" t="s">
        <v>111</v>
      </c>
      <c r="B48" s="34"/>
      <c r="C48" s="34"/>
      <c r="D48" s="34"/>
      <c r="E48" s="34"/>
      <c r="F48" s="34"/>
    </row>
  </sheetData>
  <mergeCells count="12">
    <mergeCell ref="A1:F1"/>
    <mergeCell ref="A2:F2"/>
    <mergeCell ref="A3:F3"/>
    <mergeCell ref="A6:F6"/>
    <mergeCell ref="A14:F14"/>
    <mergeCell ref="A19:F19"/>
    <mergeCell ref="A23:F23"/>
    <mergeCell ref="A28:F28"/>
    <mergeCell ref="A33:F33"/>
    <mergeCell ref="A38:F38"/>
    <mergeCell ref="A43:F43"/>
    <mergeCell ref="A48:F48"/>
  </mergeCells>
  <conditionalFormatting sqref="E6:E45">
    <cfRule type="containsText" dxfId="6" priority="1">
      <formula>NOT(ISERROR(SEARCH("Done",E6)))</formula>
    </cfRule>
    <cfRule type="containsText" dxfId="7" priority="2">
      <formula>NOT(ISERROR(SEARCH("Need to get",E6)))</formula>
    </cfRule>
    <cfRule type="containsText" dxfId="8" priority="3">
      <formula>NOT(ISERROR(SEARCH("N/A",E6)))</formula>
    </cfRule>
  </conditionalFormatting>
  <conditionalFormatting sqref="D6:D45">
    <cfRule type="containsText" dxfId="9" priority="1">
      <formula>NOT(ISERROR(SEARCH("Required",D6)))</formula>
    </cfRule>
    <cfRule type="containsText" dxfId="10" priority="2">
      <formula>NOT(ISERROR(SEARCH("Recommended",D6)))</formula>
    </cfRule>
    <cfRule type="containsText" dxfId="11" priority="3">
      <formula>NOT(ISERROR(SEARCH("If applicable",D6)))</formula>
    </cfRule>
  </conditionalFormatting>
  <dataValidations count="2">
    <dataValidation type="list" allowBlank="1" sqref="D6:D45">
      <formula1>"Required,Recommended,If applicable,Optional"</formula1>
    </dataValidation>
    <dataValidation type="list" allowBlank="1" showErrorMessage="1" errorStyle="warning" errorTitle="Pick from the list" error="Use Done, Need to get, or N/A." sqref="E6:E45">
      <formula1>"Done,Need to get,N/A"</formula1>
    </dataValidation>
  </dataValidations>
  <pageMargins left="0.4" right="0.4" top="0.6" bottom="0.6" header="0.3" footer="0.3"/>
  <pageSetup paperSize="9" orientation="portrait" fitToWidth="1" fitToHeight="0"/>
  <headerFooter>
    <oddFooter>&amp;L&amp;"Calibri"&amp;9&amp;K6B7280CapturePilot Federal Launch Kit · Doc 01-B&amp;C&amp;"Calibri"&amp;9&amp;K6B7280capturepilot.com&amp;R&amp;"Calibri"&amp;9&amp;K6B7280Page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  <pageSetUpPr fitToPage="1"/>
  </sheetPr>
  <dimension ref="A1:F3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32" customWidth="1"/>
    <col min="3" max="3" width="60" customWidth="1"/>
    <col min="4" max="4" width="6" customWidth="1"/>
  </cols>
  <sheetData>
    <row r="1" ht="30" customHeight="1" spans="1:6" x14ac:dyDescent="0.25">
      <c r="A1" s="1" t="s">
        <v>112</v>
      </c>
      <c r="B1" s="1"/>
      <c r="C1" s="1"/>
      <c r="D1" s="1"/>
      <c r="E1" s="1"/>
      <c r="F1" s="1"/>
    </row>
    <row r="2" ht="18" customHeight="1" spans="1:6" x14ac:dyDescent="0.25">
      <c r="A2" s="2" t="s">
        <v>113</v>
      </c>
      <c r="B2" s="2"/>
      <c r="C2" s="2"/>
      <c r="D2" s="2"/>
      <c r="E2" s="2"/>
      <c r="F2" s="2"/>
    </row>
    <row r="5" ht="22" customHeight="1" spans="1:4" x14ac:dyDescent="0.25">
      <c r="A5" s="13" t="s">
        <v>114</v>
      </c>
      <c r="B5" s="13"/>
      <c r="C5" s="13"/>
      <c r="D5" s="13"/>
    </row>
    <row r="6" ht="22" customHeight="1" spans="2:3" x14ac:dyDescent="0.25">
      <c r="B6" s="35" t="s">
        <v>115</v>
      </c>
      <c r="C6" s="26" t="s">
        <v>116</v>
      </c>
    </row>
    <row r="7" ht="22" customHeight="1" spans="2:3" x14ac:dyDescent="0.25">
      <c r="B7" s="36" t="s">
        <v>117</v>
      </c>
      <c r="C7" s="31" t="s">
        <v>118</v>
      </c>
    </row>
    <row r="8" ht="22" customHeight="1" spans="2:3" x14ac:dyDescent="0.25">
      <c r="B8" s="35" t="s">
        <v>119</v>
      </c>
      <c r="C8" s="26" t="s">
        <v>120</v>
      </c>
    </row>
    <row r="9" ht="22" customHeight="1" spans="2:3" x14ac:dyDescent="0.25">
      <c r="B9" s="36" t="s">
        <v>121</v>
      </c>
      <c r="C9" s="31" t="s">
        <v>122</v>
      </c>
    </row>
    <row r="10" ht="22" customHeight="1" spans="2:3" x14ac:dyDescent="0.25">
      <c r="B10" s="35" t="s">
        <v>123</v>
      </c>
      <c r="C10" s="26" t="s">
        <v>124</v>
      </c>
    </row>
    <row r="11" ht="22" customHeight="1" spans="2:3" x14ac:dyDescent="0.25">
      <c r="B11" s="36" t="s">
        <v>125</v>
      </c>
      <c r="C11" s="31" t="s">
        <v>126</v>
      </c>
    </row>
    <row r="12" ht="22" customHeight="1" spans="2:3" x14ac:dyDescent="0.25">
      <c r="B12" s="35" t="s">
        <v>127</v>
      </c>
      <c r="C12" s="26" t="s">
        <v>128</v>
      </c>
    </row>
    <row r="13" ht="22" customHeight="1" spans="2:3" x14ac:dyDescent="0.25">
      <c r="B13" s="36" t="s">
        <v>129</v>
      </c>
      <c r="C13" s="31" t="s">
        <v>130</v>
      </c>
    </row>
    <row r="14" ht="22" customHeight="1" spans="2:3" x14ac:dyDescent="0.25">
      <c r="B14" s="35" t="s">
        <v>131</v>
      </c>
      <c r="C14" s="26" t="s">
        <v>132</v>
      </c>
    </row>
    <row r="15" ht="22" customHeight="1" spans="2:3" x14ac:dyDescent="0.25">
      <c r="B15" s="36" t="s">
        <v>133</v>
      </c>
      <c r="C15" s="31" t="s">
        <v>134</v>
      </c>
    </row>
    <row r="16" ht="22" customHeight="1" spans="1:4" x14ac:dyDescent="0.25">
      <c r="A16" s="13" t="s">
        <v>135</v>
      </c>
      <c r="B16" s="13"/>
      <c r="C16" s="13"/>
      <c r="D16" s="13"/>
    </row>
    <row r="17" ht="22" customHeight="1" spans="2:3" x14ac:dyDescent="0.25">
      <c r="B17" s="35" t="s">
        <v>136</v>
      </c>
      <c r="C17" s="26" t="s">
        <v>137</v>
      </c>
    </row>
    <row r="18" ht="22" customHeight="1" spans="2:3" x14ac:dyDescent="0.25">
      <c r="B18" s="36" t="s">
        <v>138</v>
      </c>
      <c r="C18" s="31" t="s">
        <v>139</v>
      </c>
    </row>
    <row r="19" ht="22" customHeight="1" spans="2:3" x14ac:dyDescent="0.25">
      <c r="B19" s="35" t="s">
        <v>140</v>
      </c>
      <c r="C19" s="26" t="s">
        <v>141</v>
      </c>
    </row>
    <row r="20" ht="22" customHeight="1" spans="2:3" x14ac:dyDescent="0.25">
      <c r="B20" s="36" t="s">
        <v>142</v>
      </c>
      <c r="C20" s="31" t="s">
        <v>143</v>
      </c>
    </row>
    <row r="21" ht="22" customHeight="1" spans="2:3" x14ac:dyDescent="0.25">
      <c r="B21" s="35" t="s">
        <v>144</v>
      </c>
      <c r="C21" s="26" t="s">
        <v>145</v>
      </c>
    </row>
    <row r="22" ht="22" customHeight="1" spans="2:3" x14ac:dyDescent="0.25">
      <c r="B22" s="36" t="s">
        <v>146</v>
      </c>
      <c r="C22" s="31" t="s">
        <v>147</v>
      </c>
    </row>
    <row r="23" ht="22" customHeight="1" spans="2:3" x14ac:dyDescent="0.25">
      <c r="B23" s="35" t="s">
        <v>148</v>
      </c>
      <c r="C23" s="26" t="s">
        <v>149</v>
      </c>
    </row>
    <row r="24" ht="22" customHeight="1" spans="2:3" x14ac:dyDescent="0.25">
      <c r="B24" s="36" t="s">
        <v>150</v>
      </c>
      <c r="C24" s="31" t="s">
        <v>151</v>
      </c>
    </row>
    <row r="25" ht="22" customHeight="1" spans="2:3" x14ac:dyDescent="0.25">
      <c r="B25" s="35" t="s">
        <v>152</v>
      </c>
      <c r="C25" s="26" t="s">
        <v>153</v>
      </c>
    </row>
    <row r="26" ht="22" customHeight="1" spans="2:3" x14ac:dyDescent="0.25">
      <c r="B26" s="36" t="s">
        <v>154</v>
      </c>
      <c r="C26" s="31" t="s">
        <v>155</v>
      </c>
    </row>
    <row r="27" ht="22" customHeight="1" spans="1:4" x14ac:dyDescent="0.25">
      <c r="A27" s="13" t="s">
        <v>156</v>
      </c>
      <c r="B27" s="13"/>
      <c r="C27" s="13"/>
      <c r="D27" s="13"/>
    </row>
    <row r="28" ht="22" customHeight="1" spans="2:3" x14ac:dyDescent="0.25">
      <c r="B28" s="35" t="s">
        <v>157</v>
      </c>
      <c r="C28" s="26" t="s">
        <v>158</v>
      </c>
    </row>
    <row r="29" ht="22" customHeight="1" spans="2:3" x14ac:dyDescent="0.25">
      <c r="B29" s="36" t="s">
        <v>159</v>
      </c>
      <c r="C29" s="31" t="s">
        <v>160</v>
      </c>
    </row>
    <row r="30" ht="22" customHeight="1" spans="2:3" x14ac:dyDescent="0.25">
      <c r="B30" s="35" t="s">
        <v>161</v>
      </c>
      <c r="C30" s="26" t="s">
        <v>162</v>
      </c>
    </row>
    <row r="31" ht="22" customHeight="1" spans="2:3" x14ac:dyDescent="0.25">
      <c r="B31" s="36" t="s">
        <v>163</v>
      </c>
      <c r="C31" s="31" t="s">
        <v>164</v>
      </c>
    </row>
    <row r="32" ht="22" customHeight="1" spans="2:3" x14ac:dyDescent="0.25">
      <c r="B32" s="35" t="s">
        <v>165</v>
      </c>
      <c r="C32" s="26" t="s">
        <v>166</v>
      </c>
    </row>
  </sheetData>
  <mergeCells count="5">
    <mergeCell ref="A1:F1"/>
    <mergeCell ref="A2:F2"/>
    <mergeCell ref="A5:D5"/>
    <mergeCell ref="A16:D16"/>
    <mergeCell ref="A27:D27"/>
  </mergeCells>
  <pageMargins left="0.4" right="0.4" top="0.6" bottom="0.6" header="0.3" footer="0.3"/>
  <pageSetup paperSize="9" orientation="portrait" fitToWidth="1" fitToHeight="0"/>
  <headerFooter>
    <oddFooter>&amp;L&amp;"Calibri"&amp;9&amp;K6B7280CapturePilot Federal Launch Kit · Doc 01-B&amp;C&amp;"Calibri"&amp;9&amp;K6B7280capturepilot.com&amp;R&amp;"Calibri"&amp;9&amp;K6B7280Page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F19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6" customWidth="1"/>
    <col min="3" max="3" width="44" customWidth="1"/>
    <col min="4" max="5" width="16" customWidth="1"/>
    <col min="6" max="6" width="36" customWidth="1"/>
  </cols>
  <sheetData>
    <row r="1" ht="30" customHeight="1" spans="1:6" x14ac:dyDescent="0.25">
      <c r="A1" s="1" t="s">
        <v>167</v>
      </c>
      <c r="B1" s="1"/>
      <c r="C1" s="1"/>
      <c r="D1" s="1"/>
      <c r="E1" s="1"/>
      <c r="F1" s="1"/>
    </row>
    <row r="2" ht="18" customHeight="1" spans="1:6" x14ac:dyDescent="0.25">
      <c r="A2" s="2" t="s">
        <v>168</v>
      </c>
      <c r="B2" s="2"/>
      <c r="C2" s="2"/>
      <c r="D2" s="2"/>
      <c r="E2" s="2"/>
      <c r="F2" s="2"/>
    </row>
    <row r="4" spans="2:6" x14ac:dyDescent="0.25">
      <c r="B4" s="37" t="s">
        <v>169</v>
      </c>
      <c r="C4" s="37"/>
      <c r="D4" s="37"/>
      <c r="E4" s="37"/>
      <c r="F4" s="37"/>
    </row>
    <row r="5" spans="2:3" x14ac:dyDescent="0.25">
      <c r="B5" s="38" t="s">
        <v>170</v>
      </c>
      <c r="C5" s="39">
        <v>46178.89358017361</v>
      </c>
    </row>
    <row r="6" ht="22" customHeight="1" spans="1:6" x14ac:dyDescent="0.25">
      <c r="A6" s="23" t="s">
        <v>27</v>
      </c>
      <c r="B6" s="23" t="s">
        <v>171</v>
      </c>
      <c r="C6" s="23" t="s">
        <v>172</v>
      </c>
      <c r="D6" s="23" t="s">
        <v>173</v>
      </c>
      <c r="E6" s="23" t="s">
        <v>174</v>
      </c>
      <c r="F6" s="23" t="s">
        <v>175</v>
      </c>
    </row>
    <row r="7" ht="30" customHeight="1" spans="1:6" x14ac:dyDescent="0.25">
      <c r="A7" s="24">
        <v>1</v>
      </c>
      <c r="B7" s="40" t="s">
        <v>176</v>
      </c>
      <c r="C7" s="35" t="s">
        <v>177</v>
      </c>
      <c r="D7" s="41" t="s">
        <v>178</v>
      </c>
      <c r="E7" s="42">
        <f>WORKDAY(KickoffDate, -7)</f>
      </c>
      <c r="F7" s="43" t="s">
        <v>179</v>
      </c>
    </row>
    <row r="8" ht="30" customHeight="1" spans="1:6" x14ac:dyDescent="0.25">
      <c r="A8" s="29">
        <v>2</v>
      </c>
      <c r="B8" s="44" t="s">
        <v>176</v>
      </c>
      <c r="C8" s="36" t="s">
        <v>180</v>
      </c>
      <c r="D8" s="45" t="s">
        <v>181</v>
      </c>
      <c r="E8" s="46">
        <f>WORKDAY(KickoffDate, -5)</f>
      </c>
      <c r="F8" s="47" t="s">
        <v>182</v>
      </c>
    </row>
    <row r="9" ht="30" customHeight="1" spans="1:6" x14ac:dyDescent="0.25">
      <c r="A9" s="24">
        <v>3</v>
      </c>
      <c r="B9" s="40" t="s">
        <v>176</v>
      </c>
      <c r="C9" s="35" t="s">
        <v>183</v>
      </c>
      <c r="D9" s="41" t="s">
        <v>184</v>
      </c>
      <c r="E9" s="42">
        <f>WORKDAY(KickoffDate, -3)</f>
      </c>
      <c r="F9" s="43" t="s">
        <v>185</v>
      </c>
    </row>
    <row r="10" ht="30" customHeight="1" spans="1:6" x14ac:dyDescent="0.25">
      <c r="A10" s="29">
        <v>4</v>
      </c>
      <c r="B10" s="44" t="s">
        <v>186</v>
      </c>
      <c r="C10" s="36" t="s">
        <v>187</v>
      </c>
      <c r="D10" s="45" t="s">
        <v>188</v>
      </c>
      <c r="E10" s="46">
        <f>WORKDAY(KickoffDate, 0)</f>
      </c>
      <c r="F10" s="47" t="s">
        <v>189</v>
      </c>
    </row>
    <row r="11" ht="30" customHeight="1" spans="1:6" x14ac:dyDescent="0.25">
      <c r="A11" s="24">
        <v>5</v>
      </c>
      <c r="B11" s="40" t="s">
        <v>186</v>
      </c>
      <c r="C11" s="35" t="s">
        <v>190</v>
      </c>
      <c r="D11" s="41" t="s">
        <v>191</v>
      </c>
      <c r="E11" s="42">
        <f>WORKDAY(KickoffDate, 0)</f>
      </c>
      <c r="F11" s="43" t="s">
        <v>192</v>
      </c>
    </row>
    <row r="12" ht="30" customHeight="1" spans="1:6" x14ac:dyDescent="0.25">
      <c r="A12" s="29">
        <v>6</v>
      </c>
      <c r="B12" s="44" t="s">
        <v>186</v>
      </c>
      <c r="C12" s="36" t="s">
        <v>193</v>
      </c>
      <c r="D12" s="45" t="s">
        <v>194</v>
      </c>
      <c r="E12" s="46">
        <f>WORKDAY(KickoffDate, 1)</f>
      </c>
      <c r="F12" s="47" t="s">
        <v>195</v>
      </c>
    </row>
    <row r="13" ht="30" customHeight="1" spans="1:6" x14ac:dyDescent="0.25">
      <c r="A13" s="24">
        <v>7</v>
      </c>
      <c r="B13" s="40" t="s">
        <v>186</v>
      </c>
      <c r="C13" s="35" t="s">
        <v>196</v>
      </c>
      <c r="D13" s="41" t="s">
        <v>184</v>
      </c>
      <c r="E13" s="42">
        <f>WORKDAY(KickoffDate, 1)</f>
      </c>
      <c r="F13" s="43" t="s">
        <v>197</v>
      </c>
    </row>
    <row r="14" ht="30" customHeight="1" spans="1:6" x14ac:dyDescent="0.25">
      <c r="A14" s="29">
        <v>8</v>
      </c>
      <c r="B14" s="44" t="s">
        <v>198</v>
      </c>
      <c r="C14" s="36" t="s">
        <v>199</v>
      </c>
      <c r="D14" s="45" t="s">
        <v>200</v>
      </c>
      <c r="E14" s="46">
        <f>WORKDAY(KickoffDate, 2)</f>
      </c>
      <c r="F14" s="47" t="s">
        <v>201</v>
      </c>
    </row>
    <row r="15" ht="30" customHeight="1" spans="1:6" x14ac:dyDescent="0.25">
      <c r="A15" s="24">
        <v>9</v>
      </c>
      <c r="B15" s="40" t="s">
        <v>202</v>
      </c>
      <c r="C15" s="35" t="s">
        <v>203</v>
      </c>
      <c r="D15" s="41" t="s">
        <v>204</v>
      </c>
      <c r="E15" s="42">
        <f>WORKDAY(KickoffDate, 5)</f>
      </c>
      <c r="F15" s="43" t="s">
        <v>205</v>
      </c>
    </row>
    <row r="16" ht="30" customHeight="1" spans="1:6" x14ac:dyDescent="0.25">
      <c r="A16" s="29">
        <v>10</v>
      </c>
      <c r="B16" s="44" t="s">
        <v>206</v>
      </c>
      <c r="C16" s="36" t="s">
        <v>207</v>
      </c>
      <c r="D16" s="45" t="s">
        <v>208</v>
      </c>
      <c r="E16" s="46">
        <f>WORKDAY(KickoffDate, 7)</f>
      </c>
      <c r="F16" s="47" t="s">
        <v>209</v>
      </c>
    </row>
    <row r="17" ht="30" customHeight="1" spans="1:6" x14ac:dyDescent="0.25">
      <c r="A17" s="24">
        <v>11</v>
      </c>
      <c r="B17" s="40" t="s">
        <v>210</v>
      </c>
      <c r="C17" s="35" t="s">
        <v>211</v>
      </c>
      <c r="D17" s="41" t="s">
        <v>212</v>
      </c>
      <c r="E17" s="42">
        <f>WORKDAY(KickoffDate, 11)</f>
      </c>
      <c r="F17" s="43" t="s">
        <v>213</v>
      </c>
    </row>
    <row r="18" ht="30" customHeight="1" spans="1:6" x14ac:dyDescent="0.25">
      <c r="A18" s="29">
        <v>12</v>
      </c>
      <c r="B18" s="44" t="s">
        <v>214</v>
      </c>
      <c r="C18" s="36" t="s">
        <v>215</v>
      </c>
      <c r="D18" s="45" t="s">
        <v>216</v>
      </c>
      <c r="E18" s="46">
        <f>WORKDAY(KickoffDate, 14)</f>
      </c>
      <c r="F18" s="47" t="s">
        <v>217</v>
      </c>
    </row>
    <row r="19" ht="30" customHeight="1" spans="1:6" x14ac:dyDescent="0.25">
      <c r="A19" s="24">
        <v>13</v>
      </c>
      <c r="B19" s="40" t="s">
        <v>218</v>
      </c>
      <c r="C19" s="35" t="s">
        <v>219</v>
      </c>
      <c r="D19" s="41" t="s">
        <v>220</v>
      </c>
      <c r="E19" s="42">
        <f>WORKDAY(KickoffDate, 15)</f>
      </c>
      <c r="F19" s="43" t="s">
        <v>221</v>
      </c>
    </row>
  </sheetData>
  <mergeCells count="3">
    <mergeCell ref="A1:F1"/>
    <mergeCell ref="A2:F2"/>
    <mergeCell ref="B4:F4"/>
  </mergeCells>
  <conditionalFormatting sqref="E7:E19">
    <cfRule type="expression" dxfId="12" priority="1">
      <formula>E7&lt;TODAY()</formula>
    </cfRule>
    <cfRule type="expression" dxfId="13" priority="2">
      <formula>E7=TODAY()</formula>
    </cfRule>
  </conditionalFormatting>
  <pageMargins left="0.4" right="0.4" top="0.6" bottom="0.6" header="0.3" footer="0.3"/>
  <pageSetup paperSize="9" orientation="portrait" fitToWidth="1" fitToHeight="0"/>
  <headerFooter>
    <oddFooter>&amp;L&amp;"Calibri"&amp;9&amp;K6B7280CapturePilot Federal Launch Kit · Doc 01-B&amp;C&amp;"Calibri"&amp;9&amp;K6B7280capturepilot.com&amp;R&amp;"Calibri"&amp;9&amp;K6B7280Page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280"/>
    <pageSetUpPr fitToPage="1"/>
  </sheetPr>
  <dimension ref="A1:F2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00" customWidth="1"/>
  </cols>
  <sheetData>
    <row r="1" ht="30" customHeight="1" spans="1:6" x14ac:dyDescent="0.25">
      <c r="A1" s="1" t="s">
        <v>222</v>
      </c>
      <c r="B1" s="1"/>
      <c r="C1" s="1"/>
      <c r="D1" s="1"/>
      <c r="E1" s="1"/>
      <c r="F1" s="1"/>
    </row>
    <row r="2" ht="18" customHeight="1" spans="1:6" x14ac:dyDescent="0.25">
      <c r="A2" s="2" t="s">
        <v>223</v>
      </c>
      <c r="B2" s="2"/>
      <c r="C2" s="2"/>
      <c r="D2" s="2"/>
      <c r="E2" s="2"/>
      <c r="F2" s="2"/>
    </row>
    <row r="5" ht="24" customHeight="1" spans="1:2" x14ac:dyDescent="0.25">
      <c r="A5" s="48" t="s">
        <v>224</v>
      </c>
      <c r="B5" s="48"/>
    </row>
    <row r="6" ht="40" customHeight="1" spans="2:2" x14ac:dyDescent="0.25">
      <c r="B6" s="49" t="s">
        <v>225</v>
      </c>
    </row>
    <row r="7" ht="24" customHeight="1" spans="1:2" x14ac:dyDescent="0.25">
      <c r="A7" s="48" t="s">
        <v>226</v>
      </c>
      <c r="B7" s="48"/>
    </row>
    <row r="8" ht="40" customHeight="1" spans="2:2" x14ac:dyDescent="0.25">
      <c r="B8" s="49" t="s">
        <v>227</v>
      </c>
    </row>
    <row r="9" ht="40" customHeight="1" spans="2:2" x14ac:dyDescent="0.25">
      <c r="B9" s="49" t="s">
        <v>228</v>
      </c>
    </row>
    <row r="10" ht="40" customHeight="1" spans="2:2" x14ac:dyDescent="0.25">
      <c r="B10" s="49" t="s">
        <v>229</v>
      </c>
    </row>
    <row r="11" ht="40" customHeight="1" spans="2:2" x14ac:dyDescent="0.25">
      <c r="B11" s="49" t="s">
        <v>230</v>
      </c>
    </row>
    <row r="12" ht="40" customHeight="1" spans="2:2" x14ac:dyDescent="0.25">
      <c r="B12" s="49" t="s">
        <v>231</v>
      </c>
    </row>
    <row r="13" ht="24" customHeight="1" spans="1:2" x14ac:dyDescent="0.25">
      <c r="A13" s="48" t="s">
        <v>232</v>
      </c>
      <c r="B13" s="48"/>
    </row>
    <row r="14" ht="40" customHeight="1" spans="2:2" x14ac:dyDescent="0.25">
      <c r="B14" s="49" t="s">
        <v>233</v>
      </c>
    </row>
    <row r="15" ht="40" customHeight="1" spans="2:2" x14ac:dyDescent="0.25">
      <c r="B15" s="49" t="s">
        <v>234</v>
      </c>
    </row>
    <row r="16" ht="40" customHeight="1" spans="2:2" x14ac:dyDescent="0.25">
      <c r="B16" s="49" t="s">
        <v>235</v>
      </c>
    </row>
    <row r="17" ht="40" customHeight="1" spans="2:2" x14ac:dyDescent="0.25">
      <c r="B17" s="49" t="s">
        <v>236</v>
      </c>
    </row>
    <row r="18" ht="24" customHeight="1" spans="1:2" x14ac:dyDescent="0.25">
      <c r="A18" s="48" t="s">
        <v>237</v>
      </c>
      <c r="B18" s="48"/>
    </row>
    <row r="19" ht="40" customHeight="1" spans="2:2" x14ac:dyDescent="0.25">
      <c r="B19" s="49" t="s">
        <v>238</v>
      </c>
    </row>
    <row r="20" ht="40" customHeight="1" spans="2:2" x14ac:dyDescent="0.25">
      <c r="B20" s="49" t="s">
        <v>239</v>
      </c>
    </row>
    <row r="21" ht="24" customHeight="1" spans="1:2" x14ac:dyDescent="0.25">
      <c r="A21" s="48" t="s">
        <v>240</v>
      </c>
      <c r="B21" s="48"/>
    </row>
    <row r="22" ht="40" customHeight="1" spans="2:2" x14ac:dyDescent="0.25">
      <c r="B22" s="49" t="s">
        <v>241</v>
      </c>
    </row>
    <row r="23" ht="24" customHeight="1" spans="1:2" x14ac:dyDescent="0.25">
      <c r="A23" s="48" t="s">
        <v>242</v>
      </c>
      <c r="B23" s="48"/>
    </row>
    <row r="24" ht="40" customHeight="1" spans="2:2" x14ac:dyDescent="0.25">
      <c r="B24" s="49" t="s">
        <v>243</v>
      </c>
    </row>
  </sheetData>
  <mergeCells count="8">
    <mergeCell ref="A1:F1"/>
    <mergeCell ref="A2:F2"/>
    <mergeCell ref="A5:B5"/>
    <mergeCell ref="A7:B7"/>
    <mergeCell ref="A13:B13"/>
    <mergeCell ref="A18:B18"/>
    <mergeCell ref="A21:B21"/>
    <mergeCell ref="A23:B23"/>
  </mergeCells>
  <pageMargins left="0.4" right="0.4" top="0.6" bottom="0.6" header="0.3" footer="0.3"/>
  <pageSetup paperSize="9" orientation="portrait" fitToWidth="1" fitToHeight="0"/>
  <headerFooter>
    <oddFooter>&amp;L&amp;"Calibri"&amp;9&amp;K6B7280CapturePilot Federal Launch Kit · Doc 01-B&amp;C&amp;"Calibri"&amp;9&amp;K6B7280capturepilot.com&amp;R&amp;"Calibri"&amp;9&amp;K6B7280Page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Checklist</vt:lpstr>
      <vt:lpstr>Quick Reference</vt:lpstr>
      <vt:lpstr>Timeline</vt:lpstr>
      <vt:lpstr>Instructions</vt:lpstr>
    </vt:vector>
  </TitlesOfParts>
  <Company>CapturePilot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CapturePilot</dc:creator>
  <dc:title>SAM.gov Pre-Registration Checklist</dc:title>
  <dc:subject>Federal Launch Kit Doc 01-B</dc:subject>
  <dc:description/>
  <cp:keywords/>
  <cp:category/>
  <cp:lastModifiedBy>Unknown</cp:lastModifiedBy>
  <dcterms:created xsi:type="dcterms:W3CDTF">2026-06-05T21:26:45Z</dcterms:created>
  <dcterms:modified xsi:type="dcterms:W3CDTF">2026-06-05T21:26:45Z</dcterms:modified>
</cp:coreProperties>
</file>