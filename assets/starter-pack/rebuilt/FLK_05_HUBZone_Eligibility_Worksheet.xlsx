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Inputs" state="visible" r:id="rId5"/>
    <sheet sheetId="3" name="Employee Tracker" state="visible" r:id="rId6"/>
    <sheet sheetId="4" name="Eligibility Checklist" state="visible" r:id="rId7"/>
    <sheet sheetId="5" name="Summary" state="visible" r:id="rId8"/>
    <sheet sheetId="6" name="Help &amp; Examples" state="visible" r:id="rId9"/>
  </sheets>
  <definedNames>
    <definedName name="BizName">Inputs!$C$4</definedName>
    <definedName name="BizDBA">Inputs!$C$5</definedName>
    <definedName name="BizUEI">Inputs!$C$6</definedName>
    <definedName name="BizNAICS">Inputs!$C$7</definedName>
    <definedName name="EvalDate">Inputs!$C$8</definedName>
    <definedName name="EvalName">Inputs!$C$9</definedName>
    <definedName name="OfficeStreet">Inputs!$C$12</definedName>
    <definedName name="OfficeCity">Inputs!$C$13</definedName>
    <definedName name="OfficeState">Inputs!$C$14</definedName>
    <definedName name="OfficeZip">Inputs!$C$15</definedName>
    <definedName name="OfficeIsReal">Inputs!$C$16</definedName>
    <definedName name="OfficeMapConfirmed">Inputs!$C$17</definedName>
    <definedName name="OfficeHubType">Inputs!$C$18</definedName>
    <definedName name="OfficeHubExpiry">Inputs!$C$19</definedName>
    <definedName name="OwnerType">Inputs!$C$22</definedName>
    <definedName name="OwnerPct">Inputs!$C$23</definedName>
    <definedName name="PublicTraded">Inputs!$C$24</definedName>
    <definedName name="SizeStandard">Inputs!$C$25</definedName>
    <definedName name="SamActive">Inputs!$C$26</definedName>
    <definedName name="Debarred">Inputs!$C$27</definedName>
    <definedName name="HubResidencyPct">'Employee Tracker'!$G$3</definedName>
    <definedName name="HubFTECount">'Employee Tracker'!$C$3</definedName>
    <definedName name="HubResidentFTE">'Employee Tracker'!$E$3</definedName>
    <definedName name="ChecklistMet">'Eligibility Checklist'!$D$32</definedName>
    <definedName name="ChecklistOpen">'Eligibility Checklist'!$D$33</definedName>
    <definedName name="HighRiskOpen">'Eligibility Checklist'!$D$34</definedName>
  </definedNames>
  <calcPr calcId="171027"/>
</workbook>
</file>

<file path=xl/sharedStrings.xml><?xml version="1.0" encoding="utf-8"?>
<sst xmlns="http://schemas.openxmlformats.org/spreadsheetml/2006/main" count="177" uniqueCount="155">
  <si>
    <r>
      <rPr>
        <b/>
        <color rgb="FFFFFFFF"/>
        <sz val="18"/>
        <rFont val="Calibri"/>
      </rPr>
      <t xml:space="preserve">HUBZone Eligibility Worksheet
</t>
    </r>
    <r>
      <rPr>
        <color rgb="FFD1FAE5"/>
        <sz val="10"/>
        <rFont val="Calibri"/>
      </rPr>
      <t>How to use this workbook — read once, then start with the Inputs tab.</t>
    </r>
  </si>
  <si>
    <t>What this workbook does</t>
  </si>
  <si>
    <t>Five tabs to self-screen your business against the SBA HUBZone program before you spend hours on certify.sba.gov. The math is on you for the principal-office and 35% residency tests; this workbook does the bookkeeping so you can see where you stand at a glance.</t>
  </si>
  <si>
    <t>Heads up: this is a screening tool, not a legal opinion. The SBA HUBZone office is the only source of truth. Verify every address at maps.certify.sba.gov before you file.</t>
  </si>
  <si>
    <t>How to work the tabs (in order)</t>
  </si>
  <si>
    <t>Step 1.  Inputs — fill in your business name, principal office address, and a few yes/no questions about ownership and structure. Takes about ten minutes if you have your SAM.gov profile open in another tab.</t>
  </si>
  <si>
    <t>Step 2.  Employee Tracker — list every employee, their home ZIP, and average hours per month. The sheet calculates your HUBZone residency percentage automatically. Part-time staff (under 40 hrs/month) count proportionally.</t>
  </si>
  <si>
    <t>Step 3.  Eligibility Checklist — 21 yes/no/unsure questions covering ownership, principal office, 35% rule, employee definition, certification, and special HUBZone types. Mark each Y, N, or ? and add notes.</t>
  </si>
  <si>
    <t>Step 4.  Summary — pulls everything together. Shows your residency percentage, count of open items, and a preliminary verdict (eligible / gaps found / hard stop).</t>
  </si>
  <si>
    <t>Step 5.  Help &amp; Examples — three short scenarios (eligible, marginal, ineligible) so you can sanity-check your own answers.</t>
  </si>
  <si>
    <t>The two requirements that actually matter</t>
  </si>
  <si>
    <t>Most HUBZone applications fail on one of two things:</t>
  </si>
  <si>
    <t xml:space="preserve">  •  Principal office isn't in a HUBZone. Check maps.certify.sba.gov with your exact street address. A P.O. box doesn't count. A home address where nobody works doesn't count.</t>
  </si>
  <si>
    <t xml:space="preserve">  •  35% of employees don't reside in a HUBZone. The math: count every employee who works 40+ hours per month as 1. Anyone under that counts as (hours / 160). Then count how many of those live at a HUBZone address. Divide. You need 0.35 or higher.</t>
  </si>
  <si>
    <t>What you have to maintain after certification</t>
  </si>
  <si>
    <t>Certification isn't the finish line. SBA can examine your file at any time, and the 35% residency test applies at the moment of every contract award — not just on the day you got certified. If you hire three non-HUBZone employees and your percentage drops to 28%, you can lose compliance mid-contract.</t>
  </si>
  <si>
    <t>Plan for annual recertification, keep employee home-address records (W-2s, I-9s, utility bills), and re-run the Employee Tracker tab every quarter.</t>
  </si>
  <si>
    <t>Color cues used in this workbook</t>
  </si>
  <si>
    <t xml:space="preserve">  •  Emerald header rows — section titles.</t>
  </si>
  <si>
    <t xml:space="preserve">  •  White cells with borders — you fill these in.</t>
  </si>
  <si>
    <t xml:space="preserve">  •  Light slate cells — labels (don't edit).</t>
  </si>
  <si>
    <t xml:space="preserve">  •  Green / amber / red on the Summary — preliminary verdict.</t>
  </si>
  <si>
    <t>When to stop and call SBA</t>
  </si>
  <si>
    <t>If the Summary tab shows 'Hard stop' on any high-risk item (not a small business, no employees, principal office not in HUBZone), don't apply yet. Fix the underlying issue first. The HUBZone program has a strict review process and a denied application stays on your record.</t>
  </si>
  <si>
    <t>Phone: SBA HUBZone Help Desk · hubzone@sba.gov</t>
  </si>
  <si>
    <r>
      <rPr>
        <b/>
        <color rgb="FFFFFFFF"/>
        <sz val="18"/>
        <rFont val="Calibri"/>
      </rPr>
      <t xml:space="preserve">Inputs
</t>
    </r>
    <r>
      <rPr>
        <color rgb="FFD1FAE5"/>
        <sz val="10"/>
        <rFont val="Calibri"/>
      </rPr>
      <t>Fill the white cells. The Summary tab updates automatically.</t>
    </r>
  </si>
  <si>
    <t>BUSINESS PROFILE</t>
  </si>
  <si>
    <t>Business legal name</t>
  </si>
  <si>
    <t>DBA (if any)</t>
  </si>
  <si>
    <t>UEI / SAM.gov ID</t>
  </si>
  <si>
    <t>Primary NAICS code</t>
  </si>
  <si>
    <t>Evaluation date</t>
  </si>
  <si>
    <t>Evaluator name</t>
  </si>
  <si>
    <t>PRINCIPAL OFFICE</t>
  </si>
  <si>
    <t>Street address (no P.O. boxes)</t>
  </si>
  <si>
    <t>City</t>
  </si>
  <si>
    <t>State</t>
  </si>
  <si>
    <t>ZIP code</t>
  </si>
  <si>
    <t>Is this a real physical office where work happens?</t>
  </si>
  <si>
    <t>Confirmed at maps.certify.sba.gov?</t>
  </si>
  <si>
    <t>HUBZone designation type</t>
  </si>
  <si>
    <t>If redesignated/disaster area — expiration date</t>
  </si>
  <si>
    <t>OWNERSHIP &amp; STRUCTURE</t>
  </si>
  <si>
    <t>Ownership type</t>
  </si>
  <si>
    <t>% owned by U.S. citizens (or qualifying entity)</t>
  </si>
  <si>
    <t>Is the business publicly traded?</t>
  </si>
  <si>
    <t>Meets SBA small business size standard for primary NAICS?</t>
  </si>
  <si>
    <t>Active SAM.gov registration?</t>
  </si>
  <si>
    <t>Currently debarred, suspended, or proposed for debarment?</t>
  </si>
  <si>
    <r>
      <rPr>
        <b/>
        <color rgb="FFFFFFFF"/>
        <sz val="18"/>
        <rFont val="Calibri"/>
      </rPr>
      <t xml:space="preserve">Employee Tracker
</t>
    </r>
    <r>
      <rPr>
        <color rgb="FFD1FAE5"/>
        <sz val="10"/>
        <rFont val="Calibri"/>
      </rPr>
      <t>List every employee. Hours per month drive the headcount math; ZIP + HUBZone Y/N drive the 35% test.</t>
    </r>
  </si>
  <si>
    <t>Total headcount (FTE-weighted)</t>
  </si>
  <si>
    <t>HUBZone-resident headcount</t>
  </si>
  <si>
    <t>HUBZone residency %</t>
  </si>
  <si>
    <t>Status vs. 35%</t>
  </si>
  <si>
    <t>#</t>
  </si>
  <si>
    <t>Employee name</t>
  </si>
  <si>
    <t>Role / title</t>
  </si>
  <si>
    <t>Home ZIP</t>
  </si>
  <si>
    <t>Hrs / month</t>
  </si>
  <si>
    <t>FTE weight</t>
  </si>
  <si>
    <t>Resides in HUBZone? (Y/N/?)</t>
  </si>
  <si>
    <t>Verified?</t>
  </si>
  <si>
    <t>Verification date</t>
  </si>
  <si>
    <t>Notes</t>
  </si>
  <si>
    <r>
      <rPr>
        <b/>
        <color rgb="FFFFFFFF"/>
        <sz val="18"/>
        <rFont val="Calibri"/>
      </rPr>
      <t xml:space="preserve">Eligibility Checklist
</t>
    </r>
    <r>
      <rPr>
        <color rgb="FFD1FAE5"/>
        <sz val="10"/>
        <rFont val="Calibri"/>
      </rPr>
      <t>21 questions. Mark each Y, N, or ? and add notes. The Summary tab tallies open items.</t>
    </r>
  </si>
  <si>
    <t>Requirement</t>
  </si>
  <si>
    <t>Met? (Y/N/?)</t>
  </si>
  <si>
    <t>Risk</t>
  </si>
  <si>
    <t>Notes / action needed</t>
  </si>
  <si>
    <t>BUSINESS TYPE &amp; OWNERSHIP</t>
  </si>
  <si>
    <t>Business is a U.S. small business (meets SBA size standards for its primary NAICS).</t>
  </si>
  <si>
    <t>HIGH</t>
  </si>
  <si>
    <t>At least 51% owned and controlled by U.S. citizens, a CDC, ag cooperative, Alaska Native Corp, Indian Tribe, or Native Hawaiian organization.</t>
  </si>
  <si>
    <t>Business is NOT publicly traded.</t>
  </si>
  <si>
    <t>PRINCIPAL OFFICE LOCATION</t>
  </si>
  <si>
    <t>Principal office of the business is located in a designated HUBZone.</t>
  </si>
  <si>
    <t>Principal office was confirmed using the SBA HUBZone Map at maps.certify.sba.gov.</t>
  </si>
  <si>
    <t>Address is a real, physical office — not a P.O. box, virtual office, or home of a non-employee.</t>
  </si>
  <si>
    <t>Business has actually conducted business at the principal office (not just registered there).</t>
  </si>
  <si>
    <t>EMPLOYEE RESIDENCY — 35% RULE</t>
  </si>
  <si>
    <t>At least 35% of the business's employees reside in a HUBZone (see Employee Tracker tab).</t>
  </si>
  <si>
    <t>Employee residency addresses have been verified against the HUBZone map.</t>
  </si>
  <si>
    <t>'Employees' include all individuals paid regularly for work — including part-time staff (counted proportionally).</t>
  </si>
  <si>
    <t>MEDIUM</t>
  </si>
  <si>
    <t>Documentation exists for employee home addresses (W-2s, I-9s, utility bills).</t>
  </si>
  <si>
    <t>EMPLOYEE COUNT &amp; DEFINITION</t>
  </si>
  <si>
    <t>Business has at least 1 employee (sole proprietors with no employees do not qualify).</t>
  </si>
  <si>
    <t>Employee count is calculated correctly — 40+ hrs/mo counts as 1; under 40 hrs/mo counts proportionally.</t>
  </si>
  <si>
    <t>Independent contractors are NOT counted as employees (they can be HUBZone residents but don't count toward the 35%).</t>
  </si>
  <si>
    <t>CERTIFICATION &amp; MAINTENANCE</t>
  </si>
  <si>
    <t>Business is registered and active on SAM.gov.</t>
  </si>
  <si>
    <t>Business understands HUBZone certification requires annual recertification and program examination.</t>
  </si>
  <si>
    <t>Business understands it must maintain 35% HUBZone residency throughout all contracts, not just at certification.</t>
  </si>
  <si>
    <t>Business has not been debarred, suspended, or proposed for debarment.</t>
  </si>
  <si>
    <t>SPECIAL CASES — HUBZONE TYPES</t>
  </si>
  <si>
    <t>If relying on a 'qualified disaster area' HUBZone: verify designation has not expired (these change frequently).</t>
  </si>
  <si>
    <t>If relying on Indian Reservation HUBZone: verify status with BIA or relevant tribal authority.</t>
  </si>
  <si>
    <t>If principal office is a redesignated HUBZone: verify redesignation is still active (3-year redesignations expire).</t>
  </si>
  <si>
    <t>Met (Y)</t>
  </si>
  <si>
    <t>of 21</t>
  </si>
  <si>
    <t>Open (N or ?)</t>
  </si>
  <si>
    <t>High-risk open</t>
  </si>
  <si>
    <t>items</t>
  </si>
  <si>
    <r>
      <rPr>
        <b/>
        <color rgb="FFFFFFFF"/>
        <sz val="18"/>
        <rFont val="Calibri"/>
      </rPr>
      <t xml:space="preserve">Summary
</t>
    </r>
    <r>
      <rPr>
        <color rgb="FFD1FAE5"/>
        <sz val="10"/>
        <rFont val="Calibri"/>
      </rPr>
      <t>Live read-out from Inputs, Employee Tracker, and Checklist. No editing needed here.</t>
    </r>
  </si>
  <si>
    <t>Business</t>
  </si>
  <si>
    <t>Principal office</t>
  </si>
  <si>
    <t>Residency %</t>
  </si>
  <si>
    <t>Headcount (FTE)</t>
  </si>
  <si>
    <t>HUBZone-resident FTE</t>
  </si>
  <si>
    <t>Target ≥ 35%</t>
  </si>
  <si>
    <t>Minimum 1</t>
  </si>
  <si>
    <t>35% of total</t>
  </si>
  <si>
    <t>Checklist — items met</t>
  </si>
  <si>
    <t>out of 21</t>
  </si>
  <si>
    <t>Checklist — open items</t>
  </si>
  <si>
    <t>still to resolve</t>
  </si>
  <si>
    <t>High-risk open items</t>
  </si>
  <si>
    <t>fix before applying</t>
  </si>
  <si>
    <t>PRELIMINARY VERDICT</t>
  </si>
  <si>
    <t>NEXT STEPS</t>
  </si>
  <si>
    <t>1.  Open maps.certify.sba.gov and confirm your exact street address shows a HUBZone designation. Screenshot the result.</t>
  </si>
  <si>
    <t>2.  Re-run the Employee Tracker tab after every hire or termination. The 35% test applies at every contract award, not just at certification.</t>
  </si>
  <si>
    <t>3.  Gather employee proof-of-residency docs (W-2s, I-9s, recent utility bills). SBA examiners will ask.</t>
  </si>
  <si>
    <t>4.  Verify your SAM.gov registration is active and your primary NAICS reflects your real work.</t>
  </si>
  <si>
    <t>5.  When ready, apply at certify.sba.gov. Allow 60-90 days for review; budget another 30 days for follow-up questions.</t>
  </si>
  <si>
    <r>
      <rPr>
        <b/>
        <color rgb="FFFFFFFF"/>
        <sz val="18"/>
        <rFont val="Calibri"/>
      </rPr>
      <t xml:space="preserve">Help &amp; Examples
</t>
    </r>
    <r>
      <rPr>
        <color rgb="FFD1FAE5"/>
        <sz val="10"/>
        <rFont val="Calibri"/>
      </rPr>
      <t>Three worked scenarios — sanity-check your own answers against these before you apply.</t>
    </r>
  </si>
  <si>
    <t>Example 1 — Eligible (small janitorial firm in qualified census tract)</t>
  </si>
  <si>
    <t xml:space="preserve">  •  Business: Brookdale Cleaning Services, LLC. Primary NAICS 561720. 12 employees.</t>
  </si>
  <si>
    <t xml:space="preserve">  •  Principal office: 4218 Pulaski Hwy, Baltimore, MD 21224. Confirmed on maps.certify.sba.gov as a Qualified Census Tract.</t>
  </si>
  <si>
    <t xml:space="preserve">  •  Owner: Two U.S. citizens, 60% / 40% split. Not publicly traded.</t>
  </si>
  <si>
    <t xml:space="preserve">  •  Employees: 12 total. 5 reside in HUBZone ZIPs (all in Baltimore City). 7 do not. Residency = 5/12 = 41.7%. Passes the 35% test.</t>
  </si>
  <si>
    <t xml:space="preserve">  •  Result: LIKELY ELIGIBLE. Apply.</t>
  </si>
  <si>
    <t>Example 2 — Marginal (residency close to threshold)</t>
  </si>
  <si>
    <t xml:space="preserve">  •  Business: Cascade IT Services. Primary NAICS 541512. 8 employees.</t>
  </si>
  <si>
    <t xml:space="preserve">  •  Principal office: 2401 N Pine St, Tacoma, WA 98406. Confirmed as Redesignated Area — expires June 2027.</t>
  </si>
  <si>
    <t xml:space="preserve">  •  Employees: 8 total. 3 in HUBZone = 37.5%. Two part-timers (20 hrs/mo each) live in HUBZone.</t>
  </si>
  <si>
    <t xml:space="preserve">  •  FTE math: 6 full-timers (1.0 each) + 2 part-timers (0.125 each) = 6.25 FTE total. HUBZone FTE = 2 full-timers + 2 part-timers = 2 + 0.25 = 2.25. Residency = 2.25/6.25 = 36%. Passes — barely.</t>
  </si>
  <si>
    <t xml:space="preserve">  •  Risk: one hire of a non-HUBZone full-timer drops you to 32%. Plan hiring around this.</t>
  </si>
  <si>
    <t xml:space="preserve">  •  Result: GAPS FOUND if you intend to hire soon. Otherwise LIKELY ELIGIBLE.</t>
  </si>
  <si>
    <t>Example 3 — Ineligible (principal office not in HUBZone)</t>
  </si>
  <si>
    <t xml:space="preserve">  •  Business: Apex Technical Consulting. Primary NAICS 541330. 4 employees.</t>
  </si>
  <si>
    <t xml:space="preserve">  •  Principal office: 1700 Wilson Blvd, Arlington, VA 22209. NOT a HUBZone (verified at maps.certify.sba.gov).</t>
  </si>
  <si>
    <t xml:space="preserve">  •  Owner has been told by a consultant that "WFH employees in HUBZones make you eligible." This is wrong. The principal office itself must be in a HUBZone.</t>
  </si>
  <si>
    <t xml:space="preserve">  •  Result: HARD STOP. Either move the principal office to a HUBZone (and conduct real business there for 90+ days before applying) or do not pursue HUBZone.</t>
  </si>
  <si>
    <t>Common mistakes</t>
  </si>
  <si>
    <t xml:space="preserve">  •  P.O. box as principal office — disqualifying. Must be a real physical address where work actually happens.</t>
  </si>
  <si>
    <t xml:space="preserve">  •  Counting independent contractors toward the 35% — disqualifying. Only W-2 employees count.</t>
  </si>
  <si>
    <t xml:space="preserve">  •  Using a home address of someone who doesn't work there — disqualifying.</t>
  </si>
  <si>
    <t xml:space="preserve">  •  Forgetting to maintain residency mid-contract — hiring three non-HUBZone employees can drop you below 35% and put your contract at risk.</t>
  </si>
  <si>
    <t xml:space="preserve">  •  Relying on a Disaster Area HUBZone without checking the expiration — these refresh on different timelines than QCTs.</t>
  </si>
  <si>
    <t>Where the data comes from</t>
  </si>
  <si>
    <t xml:space="preserve">  •  SBA HUBZone Map: maps.certify.sba.gov — official address checker. The only source SBA will accept.</t>
  </si>
  <si>
    <t xml:space="preserve">  •  SBA Certify: certify.sba.gov — where you actually apply.</t>
  </si>
  <si>
    <t xml:space="preserve">  •  Code of Federal Regulations: 13 CFR Part 126 — the legal definitions of "principal office," "employee," "reside," and "HUBZone." Worth reading before you apply.</t>
  </si>
  <si>
    <t xml:space="preserve">  •  SBA Office of HUBZone: hubzone@sba.gov — they answer specific eligibility questions in writing.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</si>
</sst>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18" x14ac:knownFonts="1">
    <font>
      <color theme="1"/>
      <family val="2"/>
      <scheme val="minor"/>
      <sz val="11"/>
      <name val="Calibri"/>
    </font>
    <font>
      <b/>
      <color rgb="FF047857"/>
      <sz val="12"/>
      <name val="Calibri"/>
    </font>
    <font>
      <color rgb="FF334155"/>
      <sz val="10"/>
      <name val="Calibri"/>
    </font>
    <font>
      <color rgb="FF0F172A"/>
      <sz val="10"/>
      <name val="Calibri"/>
    </font>
    <font>
      <b/>
      <color rgb="FFFFFFFF"/>
      <sz val="11"/>
      <name val="Calibri"/>
    </font>
    <font>
      <b/>
      <color rgb="FF0F172A"/>
      <sz val="10"/>
      <name val="Calibri"/>
    </font>
    <font>
      <b/>
      <color rgb="FF0F172A"/>
      <sz val="11"/>
      <name val="Calibri"/>
    </font>
    <font>
      <b/>
      <color rgb="FFFFFFFF"/>
      <sz val="14"/>
      <name val="Calibri"/>
    </font>
    <font>
      <b/>
      <color rgb="FFFFFFFF"/>
      <sz val="12"/>
      <name val="Calibri"/>
    </font>
    <font>
      <color rgb="FF64748B"/>
      <sz val="9"/>
      <name val="Calibri"/>
    </font>
    <font>
      <b/>
      <color rgb="FFFFFFFF"/>
      <sz val="10"/>
      <name val="Calibri"/>
    </font>
    <font>
      <b/>
      <color rgb="FF64748B"/>
      <sz val="10"/>
      <name val="Calibri"/>
    </font>
    <font>
      <b/>
      <color rgb="FFFFFFFF"/>
      <sz val="9"/>
      <name val="Calibri"/>
    </font>
    <font>
      <color rgb="FF64748B"/>
      <sz val="10"/>
      <name val="Calibri"/>
    </font>
    <font>
      <b/>
      <color rgb="FFDC2626"/>
      <sz val="12"/>
      <name val="Calibri"/>
    </font>
    <font>
      <b/>
      <color rgb="FF0F172A"/>
      <sz val="12"/>
      <name val="Calibri"/>
    </font>
    <font>
      <b/>
      <color rgb="FF0F172A"/>
      <sz val="28"/>
      <name val="Calibri"/>
    </font>
    <font>
      <b/>
      <color rgb="FFFFFFFF"/>
      <sz val="13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4785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10B981"/>
      </patternFill>
    </fill>
    <fill>
      <patternFill patternType="solid">
        <fgColor rgb="FFDC2626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Alignment="1">
      <alignment horizontal="left" vertical="center" wrapText="1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left" vertical="center" wrapText="1"/>
    </xf>
    <xf numFmtId="9" fontId="3" fillId="5" borderId="1" xfId="0" applyNumberFormat="1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indent="1"/>
    </xf>
    <xf numFmtId="0" fontId="1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2" fontId="16" fillId="6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8">
    <dxf>
      <fill>
        <patternFill patternType="solid">
          <bgColor rgb="FF10B981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DC2626"/>
        </patternFill>
      </fill>
    </dxf>
    <dxf>
      <fill>
        <patternFill patternType="solid">
          <bgColor rgb="FF10B981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DC2626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color rgb="FF64748B"/>
      </font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047857"/>
        <sz val="28"/>
      </font>
      <fill>
        <patternFill patternType="solid">
          <bgColor rgb="FFD1FAE5"/>
        </patternFill>
      </fill>
    </dxf>
    <dxf>
      <font>
        <b/>
        <color rgb="FF92400E"/>
        <sz val="28"/>
      </font>
      <fill>
        <patternFill patternType="solid">
          <bgColor rgb="FFFEF3C7"/>
        </patternFill>
      </fill>
    </dxf>
    <dxf>
      <font>
        <b/>
        <color rgb="FFDC2626"/>
        <sz val="28"/>
      </font>
      <fill>
        <patternFill patternType="solid">
          <bgColor rgb="FFFEE2E2"/>
        </patternFill>
      </fill>
    </dxf>
    <dxf>
      <fill>
        <patternFill patternType="solid">
          <bgColor rgb="FF047857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F59E0B"/>
        </patternFill>
      </fill>
    </dxf>
    <dxf>
      <fill>
        <patternFill patternType="solid">
          <bgColor rgb="FFDC26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80" customWidth="1"/>
    <col min="3" max="3" width="3" customWidth="1"/>
  </cols>
  <sheetData>
    <row r="1" ht="56" customHeight="1" spans="1:3" x14ac:dyDescent="0.25">
      <c r="A1" s="1" t="s">
        <v>0</v>
      </c>
      <c r="B1" s="1"/>
      <c r="C1" s="1"/>
    </row>
    <row r="3" ht="22" customHeight="1" spans="2:2" x14ac:dyDescent="0.25">
      <c r="B3" s="2" t="s">
        <v>1</v>
      </c>
    </row>
    <row r="5" ht="42" customHeight="1" spans="2:2" x14ac:dyDescent="0.25">
      <c r="B5" s="3" t="s">
        <v>2</v>
      </c>
    </row>
    <row r="7" ht="28" customHeight="1" spans="2:2" x14ac:dyDescent="0.25">
      <c r="B7" s="3" t="s">
        <v>3</v>
      </c>
    </row>
    <row r="9" ht="22" customHeight="1" spans="2:2" x14ac:dyDescent="0.25">
      <c r="B9" s="2" t="s">
        <v>4</v>
      </c>
    </row>
    <row r="11" ht="42" customHeight="1" spans="2:2" x14ac:dyDescent="0.25">
      <c r="B11" s="4" t="s">
        <v>5</v>
      </c>
    </row>
    <row r="13" ht="42" customHeight="1" spans="2:2" x14ac:dyDescent="0.25">
      <c r="B13" s="4" t="s">
        <v>6</v>
      </c>
    </row>
    <row r="15" ht="42" customHeight="1" spans="2:2" x14ac:dyDescent="0.25">
      <c r="B15" s="4" t="s">
        <v>7</v>
      </c>
    </row>
    <row r="17" ht="28" customHeight="1" spans="2:2" x14ac:dyDescent="0.25">
      <c r="B17" s="4" t="s">
        <v>8</v>
      </c>
    </row>
    <row r="19" ht="28" customHeight="1" spans="2:2" x14ac:dyDescent="0.25">
      <c r="B19" s="4" t="s">
        <v>9</v>
      </c>
    </row>
    <row r="21" ht="22" customHeight="1" spans="2:2" x14ac:dyDescent="0.25">
      <c r="B21" s="2" t="s">
        <v>10</v>
      </c>
    </row>
    <row r="23" ht="18" customHeight="1" spans="2:2" x14ac:dyDescent="0.25">
      <c r="B23" s="3" t="s">
        <v>11</v>
      </c>
    </row>
    <row r="25" ht="28" customHeight="1" spans="2:2" x14ac:dyDescent="0.25">
      <c r="B25" s="3" t="s">
        <v>12</v>
      </c>
    </row>
    <row r="27" ht="42" customHeight="1" spans="2:2" x14ac:dyDescent="0.25">
      <c r="B27" s="3" t="s">
        <v>13</v>
      </c>
    </row>
    <row r="29" ht="22" customHeight="1" spans="2:2" x14ac:dyDescent="0.25">
      <c r="B29" s="2" t="s">
        <v>14</v>
      </c>
    </row>
    <row r="31" ht="56" customHeight="1" spans="2:2" x14ac:dyDescent="0.25">
      <c r="B31" s="3" t="s">
        <v>15</v>
      </c>
    </row>
    <row r="33" ht="28" customHeight="1" spans="2:2" x14ac:dyDescent="0.25">
      <c r="B33" s="3" t="s">
        <v>16</v>
      </c>
    </row>
    <row r="35" ht="22" customHeight="1" spans="2:2" x14ac:dyDescent="0.25">
      <c r="B35" s="2" t="s">
        <v>17</v>
      </c>
    </row>
    <row r="37" ht="18" customHeight="1" spans="2:2" x14ac:dyDescent="0.25">
      <c r="B37" s="3" t="s">
        <v>18</v>
      </c>
    </row>
    <row r="39" ht="18" customHeight="1" spans="2:2" x14ac:dyDescent="0.25">
      <c r="B39" s="3" t="s">
        <v>19</v>
      </c>
    </row>
    <row r="41" ht="18" customHeight="1" spans="2:2" x14ac:dyDescent="0.25">
      <c r="B41" s="3" t="s">
        <v>20</v>
      </c>
    </row>
    <row r="43" ht="18" customHeight="1" spans="2:2" x14ac:dyDescent="0.25">
      <c r="B43" s="3" t="s">
        <v>21</v>
      </c>
    </row>
    <row r="45" ht="22" customHeight="1" spans="2:2" x14ac:dyDescent="0.25">
      <c r="B45" s="2" t="s">
        <v>22</v>
      </c>
    </row>
    <row r="47" ht="56" customHeight="1" spans="2:2" x14ac:dyDescent="0.25">
      <c r="B47" s="3" t="s">
        <v>23</v>
      </c>
    </row>
    <row r="49" ht="18" customHeight="1" spans="2:2" x14ac:dyDescent="0.25">
      <c r="B49" s="3" t="s">
        <v>24</v>
      </c>
    </row>
  </sheetData>
  <mergeCells count="1">
    <mergeCell ref="A1:C1"/>
  </mergeCells>
  <pageMargins left="0.5" right="0.5" top="0.75" bottom="0.75" header="0.3" footer="0.3"/>
  <pageSetup orientation="portrait" horizontalDpi="4294967295" verticalDpi="4294967295" scale="100" fitToWidth="1" fitToHeight="0"/>
  <headerFooter>
    <oddHeader>&amp;L&amp;B CapturePilot &amp;R HUBZone Eligibility Worksheet</oddHeader>
    <oddFooter>&amp;L Federal Lead Kit · 05-B &amp;C Page &amp;P of &amp;N &amp;R captorpilot.com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7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8" customWidth="1"/>
    <col min="3" max="4" width="30" customWidth="1"/>
    <col min="5" max="5" width="3" customWidth="1"/>
  </cols>
  <sheetData>
    <row r="1" ht="56" customHeight="1" spans="1:5" x14ac:dyDescent="0.25">
      <c r="A1" s="1" t="s">
        <v>25</v>
      </c>
      <c r="B1" s="1"/>
      <c r="C1" s="1"/>
      <c r="D1" s="1"/>
      <c r="E1" s="1"/>
    </row>
    <row r="3" ht="22" customHeight="1" spans="2:4" x14ac:dyDescent="0.25">
      <c r="B3" s="5" t="s">
        <v>26</v>
      </c>
      <c r="C3" s="5"/>
      <c r="D3" s="5"/>
    </row>
    <row r="4" ht="22" customHeight="1" spans="2:4" x14ac:dyDescent="0.25">
      <c r="B4" s="6" t="s">
        <v>27</v>
      </c>
      <c r="C4" s="7"/>
      <c r="D4" s="7"/>
    </row>
    <row r="5" ht="22" customHeight="1" spans="2:4" x14ac:dyDescent="0.25">
      <c r="B5" s="6" t="s">
        <v>28</v>
      </c>
      <c r="C5" s="7"/>
      <c r="D5" s="7"/>
    </row>
    <row r="6" ht="22" customHeight="1" spans="2:4" x14ac:dyDescent="0.25">
      <c r="B6" s="6" t="s">
        <v>29</v>
      </c>
      <c r="C6" s="7"/>
      <c r="D6" s="7"/>
    </row>
    <row r="7" ht="22" customHeight="1" spans="2:4" x14ac:dyDescent="0.25">
      <c r="B7" s="6" t="s">
        <v>30</v>
      </c>
      <c r="C7" s="7"/>
      <c r="D7" s="7"/>
    </row>
    <row r="8" ht="22" customHeight="1" spans="2:4" x14ac:dyDescent="0.25">
      <c r="B8" s="6" t="s">
        <v>31</v>
      </c>
      <c r="C8" s="8"/>
      <c r="D8" s="8"/>
    </row>
    <row r="9" ht="22" customHeight="1" spans="2:4" x14ac:dyDescent="0.25">
      <c r="B9" s="6" t="s">
        <v>32</v>
      </c>
      <c r="C9" s="7"/>
      <c r="D9" s="7"/>
    </row>
    <row r="11" ht="22" customHeight="1" spans="2:4" x14ac:dyDescent="0.25">
      <c r="B11" s="5" t="s">
        <v>33</v>
      </c>
      <c r="C11" s="5"/>
      <c r="D11" s="5"/>
    </row>
    <row r="12" ht="22" customHeight="1" spans="2:4" x14ac:dyDescent="0.25">
      <c r="B12" s="6" t="s">
        <v>34</v>
      </c>
      <c r="C12" s="7"/>
      <c r="D12" s="7"/>
    </row>
    <row r="13" ht="22" customHeight="1" spans="2:4" x14ac:dyDescent="0.25">
      <c r="B13" s="6" t="s">
        <v>35</v>
      </c>
      <c r="C13" s="7"/>
      <c r="D13" s="7"/>
    </row>
    <row r="14" ht="22" customHeight="1" spans="2:4" x14ac:dyDescent="0.25">
      <c r="B14" s="6" t="s">
        <v>36</v>
      </c>
      <c r="C14" s="7"/>
      <c r="D14" s="7"/>
    </row>
    <row r="15" ht="22" customHeight="1" spans="2:4" x14ac:dyDescent="0.25">
      <c r="B15" s="6" t="s">
        <v>37</v>
      </c>
      <c r="C15" s="7"/>
      <c r="D15" s="7"/>
    </row>
    <row r="16" ht="22" customHeight="1" spans="2:4" x14ac:dyDescent="0.25">
      <c r="B16" s="6" t="s">
        <v>38</v>
      </c>
      <c r="C16" s="7"/>
      <c r="D16" s="7"/>
    </row>
    <row r="17" ht="22" customHeight="1" spans="2:4" x14ac:dyDescent="0.25">
      <c r="B17" s="6" t="s">
        <v>39</v>
      </c>
      <c r="C17" s="7"/>
      <c r="D17" s="7"/>
    </row>
    <row r="18" ht="22" customHeight="1" spans="2:4" x14ac:dyDescent="0.25">
      <c r="B18" s="6" t="s">
        <v>40</v>
      </c>
      <c r="C18" s="7"/>
      <c r="D18" s="7"/>
    </row>
    <row r="19" ht="22" customHeight="1" spans="2:4" x14ac:dyDescent="0.25">
      <c r="B19" s="6" t="s">
        <v>41</v>
      </c>
      <c r="C19" s="8"/>
      <c r="D19" s="8"/>
    </row>
    <row r="21" ht="22" customHeight="1" spans="2:4" x14ac:dyDescent="0.25">
      <c r="B21" s="5" t="s">
        <v>42</v>
      </c>
      <c r="C21" s="5"/>
      <c r="D21" s="5"/>
    </row>
    <row r="22" ht="22" customHeight="1" spans="2:4" x14ac:dyDescent="0.25">
      <c r="B22" s="6" t="s">
        <v>43</v>
      </c>
      <c r="C22" s="7"/>
      <c r="D22" s="7"/>
    </row>
    <row r="23" ht="22" customHeight="1" spans="2:4" x14ac:dyDescent="0.25">
      <c r="B23" s="6" t="s">
        <v>44</v>
      </c>
      <c r="C23" s="9"/>
      <c r="D23" s="9"/>
    </row>
    <row r="24" ht="22" customHeight="1" spans="2:4" x14ac:dyDescent="0.25">
      <c r="B24" s="6" t="s">
        <v>45</v>
      </c>
      <c r="C24" s="7"/>
      <c r="D24" s="7"/>
    </row>
    <row r="25" ht="22" customHeight="1" spans="2:4" x14ac:dyDescent="0.25">
      <c r="B25" s="6" t="s">
        <v>46</v>
      </c>
      <c r="C25" s="7"/>
      <c r="D25" s="7"/>
    </row>
    <row r="26" ht="22" customHeight="1" spans="2:4" x14ac:dyDescent="0.25">
      <c r="B26" s="6" t="s">
        <v>47</v>
      </c>
      <c r="C26" s="7"/>
      <c r="D26" s="7"/>
    </row>
    <row r="27" ht="22" customHeight="1" spans="2:4" x14ac:dyDescent="0.25">
      <c r="B27" s="6" t="s">
        <v>48</v>
      </c>
      <c r="C27" s="7"/>
      <c r="D27" s="7"/>
    </row>
  </sheetData>
  <mergeCells count="24">
    <mergeCell ref="A1:E1"/>
    <mergeCell ref="B3:D3"/>
    <mergeCell ref="C4:D4"/>
    <mergeCell ref="C5:D5"/>
    <mergeCell ref="C6:D6"/>
    <mergeCell ref="C7:D7"/>
    <mergeCell ref="C8:D8"/>
    <mergeCell ref="C9:D9"/>
    <mergeCell ref="B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1:D21"/>
    <mergeCell ref="C22:D22"/>
    <mergeCell ref="C23:D23"/>
    <mergeCell ref="C24:D24"/>
    <mergeCell ref="C25:D25"/>
    <mergeCell ref="C26:D26"/>
    <mergeCell ref="C27:D27"/>
  </mergeCells>
  <dataValidations count="4">
    <dataValidation type="list" allowBlank="1" showErrorMessage="1" errorTitle="Pick one" error="Y for yes, N for no, ? for unsure." sqref="C16:C17">
      <formula1>"Y,N,?"</formula1>
    </dataValidation>
    <dataValidation type="list" allowBlank="1" showErrorMessage="1" errorTitle="Pick a type" error="Choose the HUBZone designation that covers your principal office." sqref="C18">
      <formula1>"Qualified Census Tract,Qualified Non-Metro County,Indian Reservation,Redesignated Area,Qualified Disaster Area,Base Closure Area,Governor-Designated Covered Area,Not in HUBZone"</formula1>
    </dataValidation>
    <dataValidation type="list" allowBlank="1" showErrorMessage="1" sqref="C22">
      <formula1>"U.S. Citizens (individuals),Community Development Corp,Agricultural Cooperative,Alaska Native Corporation,Indian Tribe,Native Hawaiian Organization,Other"</formula1>
    </dataValidation>
    <dataValidation type="list" allowBlank="1" showErrorMessage="1" sqref="C24:C27">
      <formula1>"Y,N,?"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  <headerFooter>
    <oddHeader>&amp;L&amp;B CapturePilot &amp;R HUBZone Eligibility · Inputs</oddHeader>
    <oddFooter>&amp;L Federal Lead Kit · 05-B &amp;C Page &amp;P of &amp;N &amp;R captorpilot.com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4" customWidth="1"/>
    <col min="3" max="3" width="14" customWidth="1"/>
    <col min="4" max="4" width="24" customWidth="1"/>
    <col min="5" max="5" width="8" customWidth="1"/>
    <col min="6" max="6" width="10" customWidth="1"/>
    <col min="7" max="7" width="18" customWidth="1"/>
    <col min="8" max="8" width="12" customWidth="1"/>
    <col min="9" max="9" width="14" customWidth="1"/>
    <col min="10" max="10" width="24" customWidth="1"/>
  </cols>
  <sheetData>
    <row r="1" ht="56" customHeight="1" spans="1:10" x14ac:dyDescent="0.25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</row>
    <row r="3" ht="28" customHeight="1" spans="2:9" x14ac:dyDescent="0.25">
      <c r="B3" s="6" t="s">
        <v>50</v>
      </c>
      <c r="C3" s="10">
        <f>ROUND(SUMPRODUCT((E7:E206&gt;0)*(IF(E7:E206&gt;=40,1,E7:E206/160))),2)</f>
      </c>
      <c r="D3" s="6" t="s">
        <v>51</v>
      </c>
      <c r="E3" s="10">
        <f>ROUND(SUMPRODUCT((E7:E206&gt;0)*(UPPER(G7:G206)="Y")*(IF(E7:E206&gt;=40,1,E7:E206/160))),2)</f>
      </c>
      <c r="F3" s="6" t="s">
        <v>52</v>
      </c>
      <c r="G3" s="11">
        <f>IFERROR(E3/C3,0)</f>
      </c>
      <c r="H3" s="6" t="s">
        <v>53</v>
      </c>
      <c r="I3" s="12">
        <f>IF(G3&gt;=0.35,"PASS",IF(G3&gt;=0.30,"CLOSE","FAIL"))</f>
      </c>
    </row>
    <row r="6" ht="30" customHeight="1" spans="1:10" x14ac:dyDescent="0.25">
      <c r="A6" s="13" t="s">
        <v>54</v>
      </c>
      <c r="B6" s="13" t="s">
        <v>55</v>
      </c>
      <c r="C6" s="13" t="s">
        <v>56</v>
      </c>
      <c r="D6" s="13" t="s">
        <v>57</v>
      </c>
      <c r="E6" s="13" t="s">
        <v>58</v>
      </c>
      <c r="F6" s="13" t="s">
        <v>59</v>
      </c>
      <c r="G6" s="13" t="s">
        <v>60</v>
      </c>
      <c r="H6" s="13" t="s">
        <v>61</v>
      </c>
      <c r="I6" s="13" t="s">
        <v>62</v>
      </c>
      <c r="J6" s="13" t="s">
        <v>63</v>
      </c>
    </row>
    <row r="7" ht="18" customHeight="1" spans="1:10" x14ac:dyDescent="0.25">
      <c r="A7" s="14">
        <v>1</v>
      </c>
      <c r="B7" s="7"/>
      <c r="C7" s="7"/>
      <c r="D7" s="15"/>
      <c r="E7" s="16"/>
      <c r="F7" s="17">
        <f>IF(E7="","",IF(E7&gt;=40,1,ROUND(E7/160,2)))</f>
      </c>
      <c r="G7" s="18"/>
      <c r="H7" s="18"/>
      <c r="I7" s="19"/>
      <c r="J7" s="7"/>
    </row>
    <row r="8" ht="18" customHeight="1" spans="1:10" x14ac:dyDescent="0.25">
      <c r="A8" s="20">
        <v>2</v>
      </c>
      <c r="B8" s="7"/>
      <c r="C8" s="7"/>
      <c r="D8" s="15"/>
      <c r="E8" s="16"/>
      <c r="F8" s="17">
        <f>IF(E8="","",IF(E8&gt;=40,1,ROUND(E8/160,2)))</f>
      </c>
      <c r="G8" s="18"/>
      <c r="H8" s="18"/>
      <c r="I8" s="19"/>
      <c r="J8" s="7"/>
    </row>
    <row r="9" ht="18" customHeight="1" spans="1:10" x14ac:dyDescent="0.25">
      <c r="A9" s="14">
        <v>3</v>
      </c>
      <c r="B9" s="7"/>
      <c r="C9" s="7"/>
      <c r="D9" s="15"/>
      <c r="E9" s="16"/>
      <c r="F9" s="17">
        <f>IF(E9="","",IF(E9&gt;=40,1,ROUND(E9/160,2)))</f>
      </c>
      <c r="G9" s="18"/>
      <c r="H9" s="18"/>
      <c r="I9" s="19"/>
      <c r="J9" s="7"/>
    </row>
    <row r="10" ht="18" customHeight="1" spans="1:10" x14ac:dyDescent="0.25">
      <c r="A10" s="20">
        <v>4</v>
      </c>
      <c r="B10" s="7"/>
      <c r="C10" s="7"/>
      <c r="D10" s="15"/>
      <c r="E10" s="16"/>
      <c r="F10" s="17">
        <f>IF(E10="","",IF(E10&gt;=40,1,ROUND(E10/160,2)))</f>
      </c>
      <c r="G10" s="18"/>
      <c r="H10" s="18"/>
      <c r="I10" s="19"/>
      <c r="J10" s="7"/>
    </row>
    <row r="11" ht="18" customHeight="1" spans="1:10" x14ac:dyDescent="0.25">
      <c r="A11" s="14">
        <v>5</v>
      </c>
      <c r="B11" s="7"/>
      <c r="C11" s="7"/>
      <c r="D11" s="15"/>
      <c r="E11" s="16"/>
      <c r="F11" s="17">
        <f>IF(E11="","",IF(E11&gt;=40,1,ROUND(E11/160,2)))</f>
      </c>
      <c r="G11" s="18"/>
      <c r="H11" s="18"/>
      <c r="I11" s="19"/>
      <c r="J11" s="7"/>
    </row>
    <row r="12" ht="18" customHeight="1" spans="1:10" x14ac:dyDescent="0.25">
      <c r="A12" s="20">
        <v>6</v>
      </c>
      <c r="B12" s="7"/>
      <c r="C12" s="7"/>
      <c r="D12" s="15"/>
      <c r="E12" s="16"/>
      <c r="F12" s="17">
        <f>IF(E12="","",IF(E12&gt;=40,1,ROUND(E12/160,2)))</f>
      </c>
      <c r="G12" s="18"/>
      <c r="H12" s="18"/>
      <c r="I12" s="19"/>
      <c r="J12" s="7"/>
    </row>
    <row r="13" ht="18" customHeight="1" spans="1:10" x14ac:dyDescent="0.25">
      <c r="A13" s="14">
        <v>7</v>
      </c>
      <c r="B13" s="7"/>
      <c r="C13" s="7"/>
      <c r="D13" s="15"/>
      <c r="E13" s="16"/>
      <c r="F13" s="17">
        <f>IF(E13="","",IF(E13&gt;=40,1,ROUND(E13/160,2)))</f>
      </c>
      <c r="G13" s="18"/>
      <c r="H13" s="18"/>
      <c r="I13" s="19"/>
      <c r="J13" s="7"/>
    </row>
    <row r="14" ht="18" customHeight="1" spans="1:10" x14ac:dyDescent="0.25">
      <c r="A14" s="20">
        <v>8</v>
      </c>
      <c r="B14" s="7"/>
      <c r="C14" s="7"/>
      <c r="D14" s="15"/>
      <c r="E14" s="16"/>
      <c r="F14" s="17">
        <f>IF(E14="","",IF(E14&gt;=40,1,ROUND(E14/160,2)))</f>
      </c>
      <c r="G14" s="18"/>
      <c r="H14" s="18"/>
      <c r="I14" s="19"/>
      <c r="J14" s="7"/>
    </row>
    <row r="15" ht="18" customHeight="1" spans="1:10" x14ac:dyDescent="0.25">
      <c r="A15" s="14">
        <v>9</v>
      </c>
      <c r="B15" s="7"/>
      <c r="C15" s="7"/>
      <c r="D15" s="15"/>
      <c r="E15" s="16"/>
      <c r="F15" s="17">
        <f>IF(E15="","",IF(E15&gt;=40,1,ROUND(E15/160,2)))</f>
      </c>
      <c r="G15" s="18"/>
      <c r="H15" s="18"/>
      <c r="I15" s="19"/>
      <c r="J15" s="7"/>
    </row>
    <row r="16" ht="18" customHeight="1" spans="1:10" x14ac:dyDescent="0.25">
      <c r="A16" s="20">
        <v>10</v>
      </c>
      <c r="B16" s="7"/>
      <c r="C16" s="7"/>
      <c r="D16" s="15"/>
      <c r="E16" s="16"/>
      <c r="F16" s="17">
        <f>IF(E16="","",IF(E16&gt;=40,1,ROUND(E16/160,2)))</f>
      </c>
      <c r="G16" s="18"/>
      <c r="H16" s="18"/>
      <c r="I16" s="19"/>
      <c r="J16" s="7"/>
    </row>
    <row r="17" ht="18" customHeight="1" spans="1:10" x14ac:dyDescent="0.25">
      <c r="A17" s="14">
        <v>11</v>
      </c>
      <c r="B17" s="7"/>
      <c r="C17" s="7"/>
      <c r="D17" s="15"/>
      <c r="E17" s="16"/>
      <c r="F17" s="17">
        <f>IF(E17="","",IF(E17&gt;=40,1,ROUND(E17/160,2)))</f>
      </c>
      <c r="G17" s="18"/>
      <c r="H17" s="18"/>
      <c r="I17" s="19"/>
      <c r="J17" s="7"/>
    </row>
    <row r="18" ht="18" customHeight="1" spans="1:10" x14ac:dyDescent="0.25">
      <c r="A18" s="20">
        <v>12</v>
      </c>
      <c r="B18" s="7"/>
      <c r="C18" s="7"/>
      <c r="D18" s="15"/>
      <c r="E18" s="16"/>
      <c r="F18" s="17">
        <f>IF(E18="","",IF(E18&gt;=40,1,ROUND(E18/160,2)))</f>
      </c>
      <c r="G18" s="18"/>
      <c r="H18" s="18"/>
      <c r="I18" s="19"/>
      <c r="J18" s="7"/>
    </row>
    <row r="19" ht="18" customHeight="1" spans="1:10" x14ac:dyDescent="0.25">
      <c r="A19" s="14">
        <v>13</v>
      </c>
      <c r="B19" s="7"/>
      <c r="C19" s="7"/>
      <c r="D19" s="15"/>
      <c r="E19" s="16"/>
      <c r="F19" s="17">
        <f>IF(E19="","",IF(E19&gt;=40,1,ROUND(E19/160,2)))</f>
      </c>
      <c r="G19" s="18"/>
      <c r="H19" s="18"/>
      <c r="I19" s="19"/>
      <c r="J19" s="7"/>
    </row>
    <row r="20" ht="18" customHeight="1" spans="1:10" x14ac:dyDescent="0.25">
      <c r="A20" s="20">
        <v>14</v>
      </c>
      <c r="B20" s="7"/>
      <c r="C20" s="7"/>
      <c r="D20" s="15"/>
      <c r="E20" s="16"/>
      <c r="F20" s="17">
        <f>IF(E20="","",IF(E20&gt;=40,1,ROUND(E20/160,2)))</f>
      </c>
      <c r="G20" s="18"/>
      <c r="H20" s="18"/>
      <c r="I20" s="19"/>
      <c r="J20" s="7"/>
    </row>
    <row r="21" ht="18" customHeight="1" spans="1:10" x14ac:dyDescent="0.25">
      <c r="A21" s="14">
        <v>15</v>
      </c>
      <c r="B21" s="7"/>
      <c r="C21" s="7"/>
      <c r="D21" s="15"/>
      <c r="E21" s="16"/>
      <c r="F21" s="17">
        <f>IF(E21="","",IF(E21&gt;=40,1,ROUND(E21/160,2)))</f>
      </c>
      <c r="G21" s="18"/>
      <c r="H21" s="18"/>
      <c r="I21" s="19"/>
      <c r="J21" s="7"/>
    </row>
    <row r="22" ht="18" customHeight="1" spans="1:10" x14ac:dyDescent="0.25">
      <c r="A22" s="20">
        <v>16</v>
      </c>
      <c r="B22" s="7"/>
      <c r="C22" s="7"/>
      <c r="D22" s="15"/>
      <c r="E22" s="16"/>
      <c r="F22" s="17">
        <f>IF(E22="","",IF(E22&gt;=40,1,ROUND(E22/160,2)))</f>
      </c>
      <c r="G22" s="18"/>
      <c r="H22" s="18"/>
      <c r="I22" s="19"/>
      <c r="J22" s="7"/>
    </row>
    <row r="23" ht="18" customHeight="1" spans="1:10" x14ac:dyDescent="0.25">
      <c r="A23" s="14">
        <v>17</v>
      </c>
      <c r="B23" s="7"/>
      <c r="C23" s="7"/>
      <c r="D23" s="15"/>
      <c r="E23" s="16"/>
      <c r="F23" s="17">
        <f>IF(E23="","",IF(E23&gt;=40,1,ROUND(E23/160,2)))</f>
      </c>
      <c r="G23" s="18"/>
      <c r="H23" s="18"/>
      <c r="I23" s="19"/>
      <c r="J23" s="7"/>
    </row>
    <row r="24" ht="18" customHeight="1" spans="1:10" x14ac:dyDescent="0.25">
      <c r="A24" s="20">
        <v>18</v>
      </c>
      <c r="B24" s="7"/>
      <c r="C24" s="7"/>
      <c r="D24" s="15"/>
      <c r="E24" s="16"/>
      <c r="F24" s="17">
        <f>IF(E24="","",IF(E24&gt;=40,1,ROUND(E24/160,2)))</f>
      </c>
      <c r="G24" s="18"/>
      <c r="H24" s="18"/>
      <c r="I24" s="19"/>
      <c r="J24" s="7"/>
    </row>
    <row r="25" ht="18" customHeight="1" spans="1:10" x14ac:dyDescent="0.25">
      <c r="A25" s="14">
        <v>19</v>
      </c>
      <c r="B25" s="7"/>
      <c r="C25" s="7"/>
      <c r="D25" s="15"/>
      <c r="E25" s="16"/>
      <c r="F25" s="17">
        <f>IF(E25="","",IF(E25&gt;=40,1,ROUND(E25/160,2)))</f>
      </c>
      <c r="G25" s="18"/>
      <c r="H25" s="18"/>
      <c r="I25" s="19"/>
      <c r="J25" s="7"/>
    </row>
    <row r="26" ht="18" customHeight="1" spans="1:10" x14ac:dyDescent="0.25">
      <c r="A26" s="20">
        <v>20</v>
      </c>
      <c r="B26" s="7"/>
      <c r="C26" s="7"/>
      <c r="D26" s="15"/>
      <c r="E26" s="16"/>
      <c r="F26" s="17">
        <f>IF(E26="","",IF(E26&gt;=40,1,ROUND(E26/160,2)))</f>
      </c>
      <c r="G26" s="18"/>
      <c r="H26" s="18"/>
      <c r="I26" s="19"/>
      <c r="J26" s="7"/>
    </row>
    <row r="27" ht="18" customHeight="1" spans="1:10" x14ac:dyDescent="0.25">
      <c r="A27" s="14">
        <v>21</v>
      </c>
      <c r="B27" s="7"/>
      <c r="C27" s="7"/>
      <c r="D27" s="15"/>
      <c r="E27" s="16"/>
      <c r="F27" s="17">
        <f>IF(E27="","",IF(E27&gt;=40,1,ROUND(E27/160,2)))</f>
      </c>
      <c r="G27" s="18"/>
      <c r="H27" s="18"/>
      <c r="I27" s="19"/>
      <c r="J27" s="7"/>
    </row>
    <row r="28" ht="18" customHeight="1" spans="1:10" x14ac:dyDescent="0.25">
      <c r="A28" s="20">
        <v>22</v>
      </c>
      <c r="B28" s="7"/>
      <c r="C28" s="7"/>
      <c r="D28" s="15"/>
      <c r="E28" s="16"/>
      <c r="F28" s="17">
        <f>IF(E28="","",IF(E28&gt;=40,1,ROUND(E28/160,2)))</f>
      </c>
      <c r="G28" s="18"/>
      <c r="H28" s="18"/>
      <c r="I28" s="19"/>
      <c r="J28" s="7"/>
    </row>
    <row r="29" ht="18" customHeight="1" spans="1:10" x14ac:dyDescent="0.25">
      <c r="A29" s="14">
        <v>23</v>
      </c>
      <c r="B29" s="7"/>
      <c r="C29" s="7"/>
      <c r="D29" s="15"/>
      <c r="E29" s="16"/>
      <c r="F29" s="17">
        <f>IF(E29="","",IF(E29&gt;=40,1,ROUND(E29/160,2)))</f>
      </c>
      <c r="G29" s="18"/>
      <c r="H29" s="18"/>
      <c r="I29" s="19"/>
      <c r="J29" s="7"/>
    </row>
    <row r="30" ht="18" customHeight="1" spans="1:10" x14ac:dyDescent="0.25">
      <c r="A30" s="20">
        <v>24</v>
      </c>
      <c r="B30" s="7"/>
      <c r="C30" s="7"/>
      <c r="D30" s="15"/>
      <c r="E30" s="16"/>
      <c r="F30" s="17">
        <f>IF(E30="","",IF(E30&gt;=40,1,ROUND(E30/160,2)))</f>
      </c>
      <c r="G30" s="18"/>
      <c r="H30" s="18"/>
      <c r="I30" s="19"/>
      <c r="J30" s="7"/>
    </row>
    <row r="31" ht="18" customHeight="1" spans="1:10" x14ac:dyDescent="0.25">
      <c r="A31" s="14">
        <v>25</v>
      </c>
      <c r="B31" s="7"/>
      <c r="C31" s="7"/>
      <c r="D31" s="15"/>
      <c r="E31" s="16"/>
      <c r="F31" s="17">
        <f>IF(E31="","",IF(E31&gt;=40,1,ROUND(E31/160,2)))</f>
      </c>
      <c r="G31" s="18"/>
      <c r="H31" s="18"/>
      <c r="I31" s="19"/>
      <c r="J31" s="7"/>
    </row>
    <row r="32" ht="18" customHeight="1" spans="1:10" x14ac:dyDescent="0.25">
      <c r="A32" s="20">
        <v>26</v>
      </c>
      <c r="B32" s="7"/>
      <c r="C32" s="7"/>
      <c r="D32" s="15"/>
      <c r="E32" s="16"/>
      <c r="F32" s="17">
        <f>IF(E32="","",IF(E32&gt;=40,1,ROUND(E32/160,2)))</f>
      </c>
      <c r="G32" s="18"/>
      <c r="H32" s="18"/>
      <c r="I32" s="19"/>
      <c r="J32" s="7"/>
    </row>
    <row r="33" ht="18" customHeight="1" spans="1:10" x14ac:dyDescent="0.25">
      <c r="A33" s="14">
        <v>27</v>
      </c>
      <c r="B33" s="7"/>
      <c r="C33" s="7"/>
      <c r="D33" s="15"/>
      <c r="E33" s="16"/>
      <c r="F33" s="17">
        <f>IF(E33="","",IF(E33&gt;=40,1,ROUND(E33/160,2)))</f>
      </c>
      <c r="G33" s="18"/>
      <c r="H33" s="18"/>
      <c r="I33" s="19"/>
      <c r="J33" s="7"/>
    </row>
    <row r="34" ht="18" customHeight="1" spans="1:10" x14ac:dyDescent="0.25">
      <c r="A34" s="20">
        <v>28</v>
      </c>
      <c r="B34" s="7"/>
      <c r="C34" s="7"/>
      <c r="D34" s="15"/>
      <c r="E34" s="16"/>
      <c r="F34" s="17">
        <f>IF(E34="","",IF(E34&gt;=40,1,ROUND(E34/160,2)))</f>
      </c>
      <c r="G34" s="18"/>
      <c r="H34" s="18"/>
      <c r="I34" s="19"/>
      <c r="J34" s="7"/>
    </row>
    <row r="35" ht="18" customHeight="1" spans="1:10" x14ac:dyDescent="0.25">
      <c r="A35" s="14">
        <v>29</v>
      </c>
      <c r="B35" s="7"/>
      <c r="C35" s="7"/>
      <c r="D35" s="15"/>
      <c r="E35" s="16"/>
      <c r="F35" s="17">
        <f>IF(E35="","",IF(E35&gt;=40,1,ROUND(E35/160,2)))</f>
      </c>
      <c r="G35" s="18"/>
      <c r="H35" s="18"/>
      <c r="I35" s="19"/>
      <c r="J35" s="7"/>
    </row>
    <row r="36" ht="18" customHeight="1" spans="1:10" x14ac:dyDescent="0.25">
      <c r="A36" s="20">
        <v>30</v>
      </c>
      <c r="B36" s="7"/>
      <c r="C36" s="7"/>
      <c r="D36" s="15"/>
      <c r="E36" s="16"/>
      <c r="F36" s="17">
        <f>IF(E36="","",IF(E36&gt;=40,1,ROUND(E36/160,2)))</f>
      </c>
      <c r="G36" s="18"/>
      <c r="H36" s="18"/>
      <c r="I36" s="19"/>
      <c r="J36" s="7"/>
    </row>
    <row r="37" ht="18" customHeight="1" spans="1:10" x14ac:dyDescent="0.25">
      <c r="A37" s="14">
        <v>31</v>
      </c>
      <c r="B37" s="7"/>
      <c r="C37" s="7"/>
      <c r="D37" s="15"/>
      <c r="E37" s="16"/>
      <c r="F37" s="17">
        <f>IF(E37="","",IF(E37&gt;=40,1,ROUND(E37/160,2)))</f>
      </c>
      <c r="G37" s="18"/>
      <c r="H37" s="18"/>
      <c r="I37" s="19"/>
      <c r="J37" s="7"/>
    </row>
    <row r="38" ht="18" customHeight="1" spans="1:10" x14ac:dyDescent="0.25">
      <c r="A38" s="20">
        <v>32</v>
      </c>
      <c r="B38" s="7"/>
      <c r="C38" s="7"/>
      <c r="D38" s="15"/>
      <c r="E38" s="16"/>
      <c r="F38" s="17">
        <f>IF(E38="","",IF(E38&gt;=40,1,ROUND(E38/160,2)))</f>
      </c>
      <c r="G38" s="18"/>
      <c r="H38" s="18"/>
      <c r="I38" s="19"/>
      <c r="J38" s="7"/>
    </row>
    <row r="39" ht="18" customHeight="1" spans="1:10" x14ac:dyDescent="0.25">
      <c r="A39" s="14">
        <v>33</v>
      </c>
      <c r="B39" s="7"/>
      <c r="C39" s="7"/>
      <c r="D39" s="15"/>
      <c r="E39" s="16"/>
      <c r="F39" s="17">
        <f>IF(E39="","",IF(E39&gt;=40,1,ROUND(E39/160,2)))</f>
      </c>
      <c r="G39" s="18"/>
      <c r="H39" s="18"/>
      <c r="I39" s="19"/>
      <c r="J39" s="7"/>
    </row>
    <row r="40" ht="18" customHeight="1" spans="1:10" x14ac:dyDescent="0.25">
      <c r="A40" s="20">
        <v>34</v>
      </c>
      <c r="B40" s="7"/>
      <c r="C40" s="7"/>
      <c r="D40" s="15"/>
      <c r="E40" s="16"/>
      <c r="F40" s="17">
        <f>IF(E40="","",IF(E40&gt;=40,1,ROUND(E40/160,2)))</f>
      </c>
      <c r="G40" s="18"/>
      <c r="H40" s="18"/>
      <c r="I40" s="19"/>
      <c r="J40" s="7"/>
    </row>
    <row r="41" ht="18" customHeight="1" spans="1:10" x14ac:dyDescent="0.25">
      <c r="A41" s="14">
        <v>35</v>
      </c>
      <c r="B41" s="7"/>
      <c r="C41" s="7"/>
      <c r="D41" s="15"/>
      <c r="E41" s="16"/>
      <c r="F41" s="17">
        <f>IF(E41="","",IF(E41&gt;=40,1,ROUND(E41/160,2)))</f>
      </c>
      <c r="G41" s="18"/>
      <c r="H41" s="18"/>
      <c r="I41" s="19"/>
      <c r="J41" s="7"/>
    </row>
    <row r="42" ht="18" customHeight="1" spans="1:10" x14ac:dyDescent="0.25">
      <c r="A42" s="20">
        <v>36</v>
      </c>
      <c r="B42" s="7"/>
      <c r="C42" s="7"/>
      <c r="D42" s="15"/>
      <c r="E42" s="16"/>
      <c r="F42" s="17">
        <f>IF(E42="","",IF(E42&gt;=40,1,ROUND(E42/160,2)))</f>
      </c>
      <c r="G42" s="18"/>
      <c r="H42" s="18"/>
      <c r="I42" s="19"/>
      <c r="J42" s="7"/>
    </row>
    <row r="43" ht="18" customHeight="1" spans="1:10" x14ac:dyDescent="0.25">
      <c r="A43" s="14">
        <v>37</v>
      </c>
      <c r="B43" s="7"/>
      <c r="C43" s="7"/>
      <c r="D43" s="15"/>
      <c r="E43" s="16"/>
      <c r="F43" s="17">
        <f>IF(E43="","",IF(E43&gt;=40,1,ROUND(E43/160,2)))</f>
      </c>
      <c r="G43" s="18"/>
      <c r="H43" s="18"/>
      <c r="I43" s="19"/>
      <c r="J43" s="7"/>
    </row>
    <row r="44" ht="18" customHeight="1" spans="1:10" x14ac:dyDescent="0.25">
      <c r="A44" s="20">
        <v>38</v>
      </c>
      <c r="B44" s="7"/>
      <c r="C44" s="7"/>
      <c r="D44" s="15"/>
      <c r="E44" s="16"/>
      <c r="F44" s="17">
        <f>IF(E44="","",IF(E44&gt;=40,1,ROUND(E44/160,2)))</f>
      </c>
      <c r="G44" s="18"/>
      <c r="H44" s="18"/>
      <c r="I44" s="19"/>
      <c r="J44" s="7"/>
    </row>
    <row r="45" ht="18" customHeight="1" spans="1:10" x14ac:dyDescent="0.25">
      <c r="A45" s="14">
        <v>39</v>
      </c>
      <c r="B45" s="7"/>
      <c r="C45" s="7"/>
      <c r="D45" s="15"/>
      <c r="E45" s="16"/>
      <c r="F45" s="17">
        <f>IF(E45="","",IF(E45&gt;=40,1,ROUND(E45/160,2)))</f>
      </c>
      <c r="G45" s="18"/>
      <c r="H45" s="18"/>
      <c r="I45" s="19"/>
      <c r="J45" s="7"/>
    </row>
    <row r="46" ht="18" customHeight="1" spans="1:10" x14ac:dyDescent="0.25">
      <c r="A46" s="20">
        <v>40</v>
      </c>
      <c r="B46" s="7"/>
      <c r="C46" s="7"/>
      <c r="D46" s="15"/>
      <c r="E46" s="16"/>
      <c r="F46" s="17">
        <f>IF(E46="","",IF(E46&gt;=40,1,ROUND(E46/160,2)))</f>
      </c>
      <c r="G46" s="18"/>
      <c r="H46" s="18"/>
      <c r="I46" s="19"/>
      <c r="J46" s="7"/>
    </row>
    <row r="47" ht="18" customHeight="1" spans="1:10" x14ac:dyDescent="0.25">
      <c r="A47" s="14">
        <v>41</v>
      </c>
      <c r="B47" s="7"/>
      <c r="C47" s="7"/>
      <c r="D47" s="15"/>
      <c r="E47" s="16"/>
      <c r="F47" s="17">
        <f>IF(E47="","",IF(E47&gt;=40,1,ROUND(E47/160,2)))</f>
      </c>
      <c r="G47" s="18"/>
      <c r="H47" s="18"/>
      <c r="I47" s="19"/>
      <c r="J47" s="7"/>
    </row>
    <row r="48" ht="18" customHeight="1" spans="1:10" x14ac:dyDescent="0.25">
      <c r="A48" s="20">
        <v>42</v>
      </c>
      <c r="B48" s="7"/>
      <c r="C48" s="7"/>
      <c r="D48" s="15"/>
      <c r="E48" s="16"/>
      <c r="F48" s="17">
        <f>IF(E48="","",IF(E48&gt;=40,1,ROUND(E48/160,2)))</f>
      </c>
      <c r="G48" s="18"/>
      <c r="H48" s="18"/>
      <c r="I48" s="19"/>
      <c r="J48" s="7"/>
    </row>
    <row r="49" ht="18" customHeight="1" spans="1:10" x14ac:dyDescent="0.25">
      <c r="A49" s="14">
        <v>43</v>
      </c>
      <c r="B49" s="7"/>
      <c r="C49" s="7"/>
      <c r="D49" s="15"/>
      <c r="E49" s="16"/>
      <c r="F49" s="17">
        <f>IF(E49="","",IF(E49&gt;=40,1,ROUND(E49/160,2)))</f>
      </c>
      <c r="G49" s="18"/>
      <c r="H49" s="18"/>
      <c r="I49" s="19"/>
      <c r="J49" s="7"/>
    </row>
    <row r="50" ht="18" customHeight="1" spans="1:10" x14ac:dyDescent="0.25">
      <c r="A50" s="20">
        <v>44</v>
      </c>
      <c r="B50" s="7"/>
      <c r="C50" s="7"/>
      <c r="D50" s="15"/>
      <c r="E50" s="16"/>
      <c r="F50" s="17">
        <f>IF(E50="","",IF(E50&gt;=40,1,ROUND(E50/160,2)))</f>
      </c>
      <c r="G50" s="18"/>
      <c r="H50" s="18"/>
      <c r="I50" s="19"/>
      <c r="J50" s="7"/>
    </row>
    <row r="51" ht="18" customHeight="1" spans="1:10" x14ac:dyDescent="0.25">
      <c r="A51" s="14">
        <v>45</v>
      </c>
      <c r="B51" s="7"/>
      <c r="C51" s="7"/>
      <c r="D51" s="15"/>
      <c r="E51" s="16"/>
      <c r="F51" s="17">
        <f>IF(E51="","",IF(E51&gt;=40,1,ROUND(E51/160,2)))</f>
      </c>
      <c r="G51" s="18"/>
      <c r="H51" s="18"/>
      <c r="I51" s="19"/>
      <c r="J51" s="7"/>
    </row>
    <row r="52" ht="18" customHeight="1" spans="1:10" x14ac:dyDescent="0.25">
      <c r="A52" s="20">
        <v>46</v>
      </c>
      <c r="B52" s="7"/>
      <c r="C52" s="7"/>
      <c r="D52" s="15"/>
      <c r="E52" s="16"/>
      <c r="F52" s="17">
        <f>IF(E52="","",IF(E52&gt;=40,1,ROUND(E52/160,2)))</f>
      </c>
      <c r="G52" s="18"/>
      <c r="H52" s="18"/>
      <c r="I52" s="19"/>
      <c r="J52" s="7"/>
    </row>
    <row r="53" ht="18" customHeight="1" spans="1:10" x14ac:dyDescent="0.25">
      <c r="A53" s="14">
        <v>47</v>
      </c>
      <c r="B53" s="7"/>
      <c r="C53" s="7"/>
      <c r="D53" s="15"/>
      <c r="E53" s="16"/>
      <c r="F53" s="17">
        <f>IF(E53="","",IF(E53&gt;=40,1,ROUND(E53/160,2)))</f>
      </c>
      <c r="G53" s="18"/>
      <c r="H53" s="18"/>
      <c r="I53" s="19"/>
      <c r="J53" s="7"/>
    </row>
    <row r="54" ht="18" customHeight="1" spans="1:10" x14ac:dyDescent="0.25">
      <c r="A54" s="20">
        <v>48</v>
      </c>
      <c r="B54" s="7"/>
      <c r="C54" s="7"/>
      <c r="D54" s="15"/>
      <c r="E54" s="16"/>
      <c r="F54" s="17">
        <f>IF(E54="","",IF(E54&gt;=40,1,ROUND(E54/160,2)))</f>
      </c>
      <c r="G54" s="18"/>
      <c r="H54" s="18"/>
      <c r="I54" s="19"/>
      <c r="J54" s="7"/>
    </row>
    <row r="55" ht="18" customHeight="1" spans="1:10" x14ac:dyDescent="0.25">
      <c r="A55" s="14">
        <v>49</v>
      </c>
      <c r="B55" s="7"/>
      <c r="C55" s="7"/>
      <c r="D55" s="15"/>
      <c r="E55" s="16"/>
      <c r="F55" s="17">
        <f>IF(E55="","",IF(E55&gt;=40,1,ROUND(E55/160,2)))</f>
      </c>
      <c r="G55" s="18"/>
      <c r="H55" s="18"/>
      <c r="I55" s="19"/>
      <c r="J55" s="7"/>
    </row>
    <row r="56" ht="18" customHeight="1" spans="1:10" x14ac:dyDescent="0.25">
      <c r="A56" s="20">
        <v>50</v>
      </c>
      <c r="B56" s="7"/>
      <c r="C56" s="7"/>
      <c r="D56" s="15"/>
      <c r="E56" s="16"/>
      <c r="F56" s="17">
        <f>IF(E56="","",IF(E56&gt;=40,1,ROUND(E56/160,2)))</f>
      </c>
      <c r="G56" s="18"/>
      <c r="H56" s="18"/>
      <c r="I56" s="19"/>
      <c r="J56" s="7"/>
    </row>
    <row r="57" ht="18" customHeight="1" spans="1:10" x14ac:dyDescent="0.25">
      <c r="A57" s="14">
        <v>51</v>
      </c>
      <c r="B57" s="7"/>
      <c r="C57" s="7"/>
      <c r="D57" s="15"/>
      <c r="E57" s="16"/>
      <c r="F57" s="17">
        <f>IF(E57="","",IF(E57&gt;=40,1,ROUND(E57/160,2)))</f>
      </c>
      <c r="G57" s="18"/>
      <c r="H57" s="18"/>
      <c r="I57" s="19"/>
      <c r="J57" s="7"/>
    </row>
    <row r="58" ht="18" customHeight="1" spans="1:10" x14ac:dyDescent="0.25">
      <c r="A58" s="20">
        <v>52</v>
      </c>
      <c r="B58" s="7"/>
      <c r="C58" s="7"/>
      <c r="D58" s="15"/>
      <c r="E58" s="16"/>
      <c r="F58" s="17">
        <f>IF(E58="","",IF(E58&gt;=40,1,ROUND(E58/160,2)))</f>
      </c>
      <c r="G58" s="18"/>
      <c r="H58" s="18"/>
      <c r="I58" s="19"/>
      <c r="J58" s="7"/>
    </row>
    <row r="59" ht="18" customHeight="1" spans="1:10" x14ac:dyDescent="0.25">
      <c r="A59" s="14">
        <v>53</v>
      </c>
      <c r="B59" s="7"/>
      <c r="C59" s="7"/>
      <c r="D59" s="15"/>
      <c r="E59" s="16"/>
      <c r="F59" s="17">
        <f>IF(E59="","",IF(E59&gt;=40,1,ROUND(E59/160,2)))</f>
      </c>
      <c r="G59" s="18"/>
      <c r="H59" s="18"/>
      <c r="I59" s="19"/>
      <c r="J59" s="7"/>
    </row>
    <row r="60" ht="18" customHeight="1" spans="1:10" x14ac:dyDescent="0.25">
      <c r="A60" s="20">
        <v>54</v>
      </c>
      <c r="B60" s="7"/>
      <c r="C60" s="7"/>
      <c r="D60" s="15"/>
      <c r="E60" s="16"/>
      <c r="F60" s="17">
        <f>IF(E60="","",IF(E60&gt;=40,1,ROUND(E60/160,2)))</f>
      </c>
      <c r="G60" s="18"/>
      <c r="H60" s="18"/>
      <c r="I60" s="19"/>
      <c r="J60" s="7"/>
    </row>
    <row r="61" ht="18" customHeight="1" spans="1:10" x14ac:dyDescent="0.25">
      <c r="A61" s="14">
        <v>55</v>
      </c>
      <c r="B61" s="7"/>
      <c r="C61" s="7"/>
      <c r="D61" s="15"/>
      <c r="E61" s="16"/>
      <c r="F61" s="17">
        <f>IF(E61="","",IF(E61&gt;=40,1,ROUND(E61/160,2)))</f>
      </c>
      <c r="G61" s="18"/>
      <c r="H61" s="18"/>
      <c r="I61" s="19"/>
      <c r="J61" s="7"/>
    </row>
    <row r="62" ht="18" customHeight="1" spans="1:10" x14ac:dyDescent="0.25">
      <c r="A62" s="20">
        <v>56</v>
      </c>
      <c r="B62" s="7"/>
      <c r="C62" s="7"/>
      <c r="D62" s="15"/>
      <c r="E62" s="16"/>
      <c r="F62" s="17">
        <f>IF(E62="","",IF(E62&gt;=40,1,ROUND(E62/160,2)))</f>
      </c>
      <c r="G62" s="18"/>
      <c r="H62" s="18"/>
      <c r="I62" s="19"/>
      <c r="J62" s="7"/>
    </row>
    <row r="63" ht="18" customHeight="1" spans="1:10" x14ac:dyDescent="0.25">
      <c r="A63" s="14">
        <v>57</v>
      </c>
      <c r="B63" s="7"/>
      <c r="C63" s="7"/>
      <c r="D63" s="15"/>
      <c r="E63" s="16"/>
      <c r="F63" s="17">
        <f>IF(E63="","",IF(E63&gt;=40,1,ROUND(E63/160,2)))</f>
      </c>
      <c r="G63" s="18"/>
      <c r="H63" s="18"/>
      <c r="I63" s="19"/>
      <c r="J63" s="7"/>
    </row>
    <row r="64" ht="18" customHeight="1" spans="1:10" x14ac:dyDescent="0.25">
      <c r="A64" s="20">
        <v>58</v>
      </c>
      <c r="B64" s="7"/>
      <c r="C64" s="7"/>
      <c r="D64" s="15"/>
      <c r="E64" s="16"/>
      <c r="F64" s="17">
        <f>IF(E64="","",IF(E64&gt;=40,1,ROUND(E64/160,2)))</f>
      </c>
      <c r="G64" s="18"/>
      <c r="H64" s="18"/>
      <c r="I64" s="19"/>
      <c r="J64" s="7"/>
    </row>
    <row r="65" ht="18" customHeight="1" spans="1:10" x14ac:dyDescent="0.25">
      <c r="A65" s="14">
        <v>59</v>
      </c>
      <c r="B65" s="7"/>
      <c r="C65" s="7"/>
      <c r="D65" s="15"/>
      <c r="E65" s="16"/>
      <c r="F65" s="17">
        <f>IF(E65="","",IF(E65&gt;=40,1,ROUND(E65/160,2)))</f>
      </c>
      <c r="G65" s="18"/>
      <c r="H65" s="18"/>
      <c r="I65" s="19"/>
      <c r="J65" s="7"/>
    </row>
    <row r="66" ht="18" customHeight="1" spans="1:10" x14ac:dyDescent="0.25">
      <c r="A66" s="20">
        <v>60</v>
      </c>
      <c r="B66" s="7"/>
      <c r="C66" s="7"/>
      <c r="D66" s="15"/>
      <c r="E66" s="16"/>
      <c r="F66" s="17">
        <f>IF(E66="","",IF(E66&gt;=40,1,ROUND(E66/160,2)))</f>
      </c>
      <c r="G66" s="18"/>
      <c r="H66" s="18"/>
      <c r="I66" s="19"/>
      <c r="J66" s="7"/>
    </row>
    <row r="67" ht="18" customHeight="1" spans="1:10" x14ac:dyDescent="0.25">
      <c r="A67" s="14">
        <v>61</v>
      </c>
      <c r="B67" s="7"/>
      <c r="C67" s="7"/>
      <c r="D67" s="15"/>
      <c r="E67" s="16"/>
      <c r="F67" s="17">
        <f>IF(E67="","",IF(E67&gt;=40,1,ROUND(E67/160,2)))</f>
      </c>
      <c r="G67" s="18"/>
      <c r="H67" s="18"/>
      <c r="I67" s="19"/>
      <c r="J67" s="7"/>
    </row>
    <row r="68" ht="18" customHeight="1" spans="1:10" x14ac:dyDescent="0.25">
      <c r="A68" s="20">
        <v>62</v>
      </c>
      <c r="B68" s="7"/>
      <c r="C68" s="7"/>
      <c r="D68" s="15"/>
      <c r="E68" s="16"/>
      <c r="F68" s="17">
        <f>IF(E68="","",IF(E68&gt;=40,1,ROUND(E68/160,2)))</f>
      </c>
      <c r="G68" s="18"/>
      <c r="H68" s="18"/>
      <c r="I68" s="19"/>
      <c r="J68" s="7"/>
    </row>
    <row r="69" ht="18" customHeight="1" spans="1:10" x14ac:dyDescent="0.25">
      <c r="A69" s="14">
        <v>63</v>
      </c>
      <c r="B69" s="7"/>
      <c r="C69" s="7"/>
      <c r="D69" s="15"/>
      <c r="E69" s="16"/>
      <c r="F69" s="17">
        <f>IF(E69="","",IF(E69&gt;=40,1,ROUND(E69/160,2)))</f>
      </c>
      <c r="G69" s="18"/>
      <c r="H69" s="18"/>
      <c r="I69" s="19"/>
      <c r="J69" s="7"/>
    </row>
    <row r="70" ht="18" customHeight="1" spans="1:10" x14ac:dyDescent="0.25">
      <c r="A70" s="20">
        <v>64</v>
      </c>
      <c r="B70" s="7"/>
      <c r="C70" s="7"/>
      <c r="D70" s="15"/>
      <c r="E70" s="16"/>
      <c r="F70" s="17">
        <f>IF(E70="","",IF(E70&gt;=40,1,ROUND(E70/160,2)))</f>
      </c>
      <c r="G70" s="18"/>
      <c r="H70" s="18"/>
      <c r="I70" s="19"/>
      <c r="J70" s="7"/>
    </row>
    <row r="71" ht="18" customHeight="1" spans="1:10" x14ac:dyDescent="0.25">
      <c r="A71" s="14">
        <v>65</v>
      </c>
      <c r="B71" s="7"/>
      <c r="C71" s="7"/>
      <c r="D71" s="15"/>
      <c r="E71" s="16"/>
      <c r="F71" s="17">
        <f>IF(E71="","",IF(E71&gt;=40,1,ROUND(E71/160,2)))</f>
      </c>
      <c r="G71" s="18"/>
      <c r="H71" s="18"/>
      <c r="I71" s="19"/>
      <c r="J71" s="7"/>
    </row>
    <row r="72" ht="18" customHeight="1" spans="1:10" x14ac:dyDescent="0.25">
      <c r="A72" s="20">
        <v>66</v>
      </c>
      <c r="B72" s="7"/>
      <c r="C72" s="7"/>
      <c r="D72" s="15"/>
      <c r="E72" s="16"/>
      <c r="F72" s="17">
        <f>IF(E72="","",IF(E72&gt;=40,1,ROUND(E72/160,2)))</f>
      </c>
      <c r="G72" s="18"/>
      <c r="H72" s="18"/>
      <c r="I72" s="19"/>
      <c r="J72" s="7"/>
    </row>
    <row r="73" ht="18" customHeight="1" spans="1:10" x14ac:dyDescent="0.25">
      <c r="A73" s="14">
        <v>67</v>
      </c>
      <c r="B73" s="7"/>
      <c r="C73" s="7"/>
      <c r="D73" s="15"/>
      <c r="E73" s="16"/>
      <c r="F73" s="17">
        <f>IF(E73="","",IF(E73&gt;=40,1,ROUND(E73/160,2)))</f>
      </c>
      <c r="G73" s="18"/>
      <c r="H73" s="18"/>
      <c r="I73" s="19"/>
      <c r="J73" s="7"/>
    </row>
    <row r="74" ht="18" customHeight="1" spans="1:10" x14ac:dyDescent="0.25">
      <c r="A74" s="20">
        <v>68</v>
      </c>
      <c r="B74" s="7"/>
      <c r="C74" s="7"/>
      <c r="D74" s="15"/>
      <c r="E74" s="16"/>
      <c r="F74" s="17">
        <f>IF(E74="","",IF(E74&gt;=40,1,ROUND(E74/160,2)))</f>
      </c>
      <c r="G74" s="18"/>
      <c r="H74" s="18"/>
      <c r="I74" s="19"/>
      <c r="J74" s="7"/>
    </row>
    <row r="75" ht="18" customHeight="1" spans="1:10" x14ac:dyDescent="0.25">
      <c r="A75" s="14">
        <v>69</v>
      </c>
      <c r="B75" s="7"/>
      <c r="C75" s="7"/>
      <c r="D75" s="15"/>
      <c r="E75" s="16"/>
      <c r="F75" s="17">
        <f>IF(E75="","",IF(E75&gt;=40,1,ROUND(E75/160,2)))</f>
      </c>
      <c r="G75" s="18"/>
      <c r="H75" s="18"/>
      <c r="I75" s="19"/>
      <c r="J75" s="7"/>
    </row>
    <row r="76" ht="18" customHeight="1" spans="1:10" x14ac:dyDescent="0.25">
      <c r="A76" s="20">
        <v>70</v>
      </c>
      <c r="B76" s="7"/>
      <c r="C76" s="7"/>
      <c r="D76" s="15"/>
      <c r="E76" s="16"/>
      <c r="F76" s="17">
        <f>IF(E76="","",IF(E76&gt;=40,1,ROUND(E76/160,2)))</f>
      </c>
      <c r="G76" s="18"/>
      <c r="H76" s="18"/>
      <c r="I76" s="19"/>
      <c r="J76" s="7"/>
    </row>
    <row r="77" ht="18" customHeight="1" spans="1:10" x14ac:dyDescent="0.25">
      <c r="A77" s="14">
        <v>71</v>
      </c>
      <c r="B77" s="7"/>
      <c r="C77" s="7"/>
      <c r="D77" s="15"/>
      <c r="E77" s="16"/>
      <c r="F77" s="17">
        <f>IF(E77="","",IF(E77&gt;=40,1,ROUND(E77/160,2)))</f>
      </c>
      <c r="G77" s="18"/>
      <c r="H77" s="18"/>
      <c r="I77" s="19"/>
      <c r="J77" s="7"/>
    </row>
    <row r="78" ht="18" customHeight="1" spans="1:10" x14ac:dyDescent="0.25">
      <c r="A78" s="20">
        <v>72</v>
      </c>
      <c r="B78" s="7"/>
      <c r="C78" s="7"/>
      <c r="D78" s="15"/>
      <c r="E78" s="16"/>
      <c r="F78" s="17">
        <f>IF(E78="","",IF(E78&gt;=40,1,ROUND(E78/160,2)))</f>
      </c>
      <c r="G78" s="18"/>
      <c r="H78" s="18"/>
      <c r="I78" s="19"/>
      <c r="J78" s="7"/>
    </row>
    <row r="79" ht="18" customHeight="1" spans="1:10" x14ac:dyDescent="0.25">
      <c r="A79" s="14">
        <v>73</v>
      </c>
      <c r="B79" s="7"/>
      <c r="C79" s="7"/>
      <c r="D79" s="15"/>
      <c r="E79" s="16"/>
      <c r="F79" s="17">
        <f>IF(E79="","",IF(E79&gt;=40,1,ROUND(E79/160,2)))</f>
      </c>
      <c r="G79" s="18"/>
      <c r="H79" s="18"/>
      <c r="I79" s="19"/>
      <c r="J79" s="7"/>
    </row>
    <row r="80" ht="18" customHeight="1" spans="1:10" x14ac:dyDescent="0.25">
      <c r="A80" s="20">
        <v>74</v>
      </c>
      <c r="B80" s="7"/>
      <c r="C80" s="7"/>
      <c r="D80" s="15"/>
      <c r="E80" s="16"/>
      <c r="F80" s="17">
        <f>IF(E80="","",IF(E80&gt;=40,1,ROUND(E80/160,2)))</f>
      </c>
      <c r="G80" s="18"/>
      <c r="H80" s="18"/>
      <c r="I80" s="19"/>
      <c r="J80" s="7"/>
    </row>
    <row r="81" ht="18" customHeight="1" spans="1:10" x14ac:dyDescent="0.25">
      <c r="A81" s="14">
        <v>75</v>
      </c>
      <c r="B81" s="7"/>
      <c r="C81" s="7"/>
      <c r="D81" s="15"/>
      <c r="E81" s="16"/>
      <c r="F81" s="17">
        <f>IF(E81="","",IF(E81&gt;=40,1,ROUND(E81/160,2)))</f>
      </c>
      <c r="G81" s="18"/>
      <c r="H81" s="18"/>
      <c r="I81" s="19"/>
      <c r="J81" s="7"/>
    </row>
    <row r="82" ht="18" customHeight="1" spans="1:10" x14ac:dyDescent="0.25">
      <c r="A82" s="20">
        <v>76</v>
      </c>
      <c r="B82" s="7"/>
      <c r="C82" s="7"/>
      <c r="D82" s="15"/>
      <c r="E82" s="16"/>
      <c r="F82" s="17">
        <f>IF(E82="","",IF(E82&gt;=40,1,ROUND(E82/160,2)))</f>
      </c>
      <c r="G82" s="18"/>
      <c r="H82" s="18"/>
      <c r="I82" s="19"/>
      <c r="J82" s="7"/>
    </row>
    <row r="83" ht="18" customHeight="1" spans="1:10" x14ac:dyDescent="0.25">
      <c r="A83" s="14">
        <v>77</v>
      </c>
      <c r="B83" s="7"/>
      <c r="C83" s="7"/>
      <c r="D83" s="15"/>
      <c r="E83" s="16"/>
      <c r="F83" s="17">
        <f>IF(E83="","",IF(E83&gt;=40,1,ROUND(E83/160,2)))</f>
      </c>
      <c r="G83" s="18"/>
      <c r="H83" s="18"/>
      <c r="I83" s="19"/>
      <c r="J83" s="7"/>
    </row>
    <row r="84" ht="18" customHeight="1" spans="1:10" x14ac:dyDescent="0.25">
      <c r="A84" s="20">
        <v>78</v>
      </c>
      <c r="B84" s="7"/>
      <c r="C84" s="7"/>
      <c r="D84" s="15"/>
      <c r="E84" s="16"/>
      <c r="F84" s="17">
        <f>IF(E84="","",IF(E84&gt;=40,1,ROUND(E84/160,2)))</f>
      </c>
      <c r="G84" s="18"/>
      <c r="H84" s="18"/>
      <c r="I84" s="19"/>
      <c r="J84" s="7"/>
    </row>
    <row r="85" ht="18" customHeight="1" spans="1:10" x14ac:dyDescent="0.25">
      <c r="A85" s="14">
        <v>79</v>
      </c>
      <c r="B85" s="7"/>
      <c r="C85" s="7"/>
      <c r="D85" s="15"/>
      <c r="E85" s="16"/>
      <c r="F85" s="17">
        <f>IF(E85="","",IF(E85&gt;=40,1,ROUND(E85/160,2)))</f>
      </c>
      <c r="G85" s="18"/>
      <c r="H85" s="18"/>
      <c r="I85" s="19"/>
      <c r="J85" s="7"/>
    </row>
    <row r="86" ht="18" customHeight="1" spans="1:10" x14ac:dyDescent="0.25">
      <c r="A86" s="20">
        <v>80</v>
      </c>
      <c r="B86" s="7"/>
      <c r="C86" s="7"/>
      <c r="D86" s="15"/>
      <c r="E86" s="16"/>
      <c r="F86" s="17">
        <f>IF(E86="","",IF(E86&gt;=40,1,ROUND(E86/160,2)))</f>
      </c>
      <c r="G86" s="18"/>
      <c r="H86" s="18"/>
      <c r="I86" s="19"/>
      <c r="J86" s="7"/>
    </row>
    <row r="87" ht="18" customHeight="1" spans="1:10" x14ac:dyDescent="0.25">
      <c r="A87" s="14">
        <v>81</v>
      </c>
      <c r="B87" s="7"/>
      <c r="C87" s="7"/>
      <c r="D87" s="15"/>
      <c r="E87" s="16"/>
      <c r="F87" s="17">
        <f>IF(E87="","",IF(E87&gt;=40,1,ROUND(E87/160,2)))</f>
      </c>
      <c r="G87" s="18"/>
      <c r="H87" s="18"/>
      <c r="I87" s="19"/>
      <c r="J87" s="7"/>
    </row>
    <row r="88" ht="18" customHeight="1" spans="1:10" x14ac:dyDescent="0.25">
      <c r="A88" s="20">
        <v>82</v>
      </c>
      <c r="B88" s="7"/>
      <c r="C88" s="7"/>
      <c r="D88" s="15"/>
      <c r="E88" s="16"/>
      <c r="F88" s="17">
        <f>IF(E88="","",IF(E88&gt;=40,1,ROUND(E88/160,2)))</f>
      </c>
      <c r="G88" s="18"/>
      <c r="H88" s="18"/>
      <c r="I88" s="19"/>
      <c r="J88" s="7"/>
    </row>
    <row r="89" ht="18" customHeight="1" spans="1:10" x14ac:dyDescent="0.25">
      <c r="A89" s="14">
        <v>83</v>
      </c>
      <c r="B89" s="7"/>
      <c r="C89" s="7"/>
      <c r="D89" s="15"/>
      <c r="E89" s="16"/>
      <c r="F89" s="17">
        <f>IF(E89="","",IF(E89&gt;=40,1,ROUND(E89/160,2)))</f>
      </c>
      <c r="G89" s="18"/>
      <c r="H89" s="18"/>
      <c r="I89" s="19"/>
      <c r="J89" s="7"/>
    </row>
    <row r="90" ht="18" customHeight="1" spans="1:10" x14ac:dyDescent="0.25">
      <c r="A90" s="20">
        <v>84</v>
      </c>
      <c r="B90" s="7"/>
      <c r="C90" s="7"/>
      <c r="D90" s="15"/>
      <c r="E90" s="16"/>
      <c r="F90" s="17">
        <f>IF(E90="","",IF(E90&gt;=40,1,ROUND(E90/160,2)))</f>
      </c>
      <c r="G90" s="18"/>
      <c r="H90" s="18"/>
      <c r="I90" s="19"/>
      <c r="J90" s="7"/>
    </row>
    <row r="91" ht="18" customHeight="1" spans="1:10" x14ac:dyDescent="0.25">
      <c r="A91" s="14">
        <v>85</v>
      </c>
      <c r="B91" s="7"/>
      <c r="C91" s="7"/>
      <c r="D91" s="15"/>
      <c r="E91" s="16"/>
      <c r="F91" s="17">
        <f>IF(E91="","",IF(E91&gt;=40,1,ROUND(E91/160,2)))</f>
      </c>
      <c r="G91" s="18"/>
      <c r="H91" s="18"/>
      <c r="I91" s="19"/>
      <c r="J91" s="7"/>
    </row>
    <row r="92" ht="18" customHeight="1" spans="1:10" x14ac:dyDescent="0.25">
      <c r="A92" s="20">
        <v>86</v>
      </c>
      <c r="B92" s="7"/>
      <c r="C92" s="7"/>
      <c r="D92" s="15"/>
      <c r="E92" s="16"/>
      <c r="F92" s="17">
        <f>IF(E92="","",IF(E92&gt;=40,1,ROUND(E92/160,2)))</f>
      </c>
      <c r="G92" s="18"/>
      <c r="H92" s="18"/>
      <c r="I92" s="19"/>
      <c r="J92" s="7"/>
    </row>
    <row r="93" ht="18" customHeight="1" spans="1:10" x14ac:dyDescent="0.25">
      <c r="A93" s="14">
        <v>87</v>
      </c>
      <c r="B93" s="7"/>
      <c r="C93" s="7"/>
      <c r="D93" s="15"/>
      <c r="E93" s="16"/>
      <c r="F93" s="17">
        <f>IF(E93="","",IF(E93&gt;=40,1,ROUND(E93/160,2)))</f>
      </c>
      <c r="G93" s="18"/>
      <c r="H93" s="18"/>
      <c r="I93" s="19"/>
      <c r="J93" s="7"/>
    </row>
    <row r="94" ht="18" customHeight="1" spans="1:10" x14ac:dyDescent="0.25">
      <c r="A94" s="20">
        <v>88</v>
      </c>
      <c r="B94" s="7"/>
      <c r="C94" s="7"/>
      <c r="D94" s="15"/>
      <c r="E94" s="16"/>
      <c r="F94" s="17">
        <f>IF(E94="","",IF(E94&gt;=40,1,ROUND(E94/160,2)))</f>
      </c>
      <c r="G94" s="18"/>
      <c r="H94" s="18"/>
      <c r="I94" s="19"/>
      <c r="J94" s="7"/>
    </row>
    <row r="95" ht="18" customHeight="1" spans="1:10" x14ac:dyDescent="0.25">
      <c r="A95" s="14">
        <v>89</v>
      </c>
      <c r="B95" s="7"/>
      <c r="C95" s="7"/>
      <c r="D95" s="15"/>
      <c r="E95" s="16"/>
      <c r="F95" s="17">
        <f>IF(E95="","",IF(E95&gt;=40,1,ROUND(E95/160,2)))</f>
      </c>
      <c r="G95" s="18"/>
      <c r="H95" s="18"/>
      <c r="I95" s="19"/>
      <c r="J95" s="7"/>
    </row>
    <row r="96" ht="18" customHeight="1" spans="1:10" x14ac:dyDescent="0.25">
      <c r="A96" s="20">
        <v>90</v>
      </c>
      <c r="B96" s="7"/>
      <c r="C96" s="7"/>
      <c r="D96" s="15"/>
      <c r="E96" s="16"/>
      <c r="F96" s="17">
        <f>IF(E96="","",IF(E96&gt;=40,1,ROUND(E96/160,2)))</f>
      </c>
      <c r="G96" s="18"/>
      <c r="H96" s="18"/>
      <c r="I96" s="19"/>
      <c r="J96" s="7"/>
    </row>
    <row r="97" ht="18" customHeight="1" spans="1:10" x14ac:dyDescent="0.25">
      <c r="A97" s="14">
        <v>91</v>
      </c>
      <c r="B97" s="7"/>
      <c r="C97" s="7"/>
      <c r="D97" s="15"/>
      <c r="E97" s="16"/>
      <c r="F97" s="17">
        <f>IF(E97="","",IF(E97&gt;=40,1,ROUND(E97/160,2)))</f>
      </c>
      <c r="G97" s="18"/>
      <c r="H97" s="18"/>
      <c r="I97" s="19"/>
      <c r="J97" s="7"/>
    </row>
    <row r="98" ht="18" customHeight="1" spans="1:10" x14ac:dyDescent="0.25">
      <c r="A98" s="20">
        <v>92</v>
      </c>
      <c r="B98" s="7"/>
      <c r="C98" s="7"/>
      <c r="D98" s="15"/>
      <c r="E98" s="16"/>
      <c r="F98" s="17">
        <f>IF(E98="","",IF(E98&gt;=40,1,ROUND(E98/160,2)))</f>
      </c>
      <c r="G98" s="18"/>
      <c r="H98" s="18"/>
      <c r="I98" s="19"/>
      <c r="J98" s="7"/>
    </row>
    <row r="99" ht="18" customHeight="1" spans="1:10" x14ac:dyDescent="0.25">
      <c r="A99" s="14">
        <v>93</v>
      </c>
      <c r="B99" s="7"/>
      <c r="C99" s="7"/>
      <c r="D99" s="15"/>
      <c r="E99" s="16"/>
      <c r="F99" s="17">
        <f>IF(E99="","",IF(E99&gt;=40,1,ROUND(E99/160,2)))</f>
      </c>
      <c r="G99" s="18"/>
      <c r="H99" s="18"/>
      <c r="I99" s="19"/>
      <c r="J99" s="7"/>
    </row>
    <row r="100" ht="18" customHeight="1" spans="1:10" x14ac:dyDescent="0.25">
      <c r="A100" s="20">
        <v>94</v>
      </c>
      <c r="B100" s="7"/>
      <c r="C100" s="7"/>
      <c r="D100" s="15"/>
      <c r="E100" s="16"/>
      <c r="F100" s="17">
        <f>IF(E100="","",IF(E100&gt;=40,1,ROUND(E100/160,2)))</f>
      </c>
      <c r="G100" s="18"/>
      <c r="H100" s="18"/>
      <c r="I100" s="19"/>
      <c r="J100" s="7"/>
    </row>
    <row r="101" ht="18" customHeight="1" spans="1:10" x14ac:dyDescent="0.25">
      <c r="A101" s="14">
        <v>95</v>
      </c>
      <c r="B101" s="7"/>
      <c r="C101" s="7"/>
      <c r="D101" s="15"/>
      <c r="E101" s="16"/>
      <c r="F101" s="17">
        <f>IF(E101="","",IF(E101&gt;=40,1,ROUND(E101/160,2)))</f>
      </c>
      <c r="G101" s="18"/>
      <c r="H101" s="18"/>
      <c r="I101" s="19"/>
      <c r="J101" s="7"/>
    </row>
    <row r="102" ht="18" customHeight="1" spans="1:10" x14ac:dyDescent="0.25">
      <c r="A102" s="20">
        <v>96</v>
      </c>
      <c r="B102" s="7"/>
      <c r="C102" s="7"/>
      <c r="D102" s="15"/>
      <c r="E102" s="16"/>
      <c r="F102" s="17">
        <f>IF(E102="","",IF(E102&gt;=40,1,ROUND(E102/160,2)))</f>
      </c>
      <c r="G102" s="18"/>
      <c r="H102" s="18"/>
      <c r="I102" s="19"/>
      <c r="J102" s="7"/>
    </row>
    <row r="103" ht="18" customHeight="1" spans="1:10" x14ac:dyDescent="0.25">
      <c r="A103" s="14">
        <v>97</v>
      </c>
      <c r="B103" s="7"/>
      <c r="C103" s="7"/>
      <c r="D103" s="15"/>
      <c r="E103" s="16"/>
      <c r="F103" s="17">
        <f>IF(E103="","",IF(E103&gt;=40,1,ROUND(E103/160,2)))</f>
      </c>
      <c r="G103" s="18"/>
      <c r="H103" s="18"/>
      <c r="I103" s="19"/>
      <c r="J103" s="7"/>
    </row>
    <row r="104" ht="18" customHeight="1" spans="1:10" x14ac:dyDescent="0.25">
      <c r="A104" s="20">
        <v>98</v>
      </c>
      <c r="B104" s="7"/>
      <c r="C104" s="7"/>
      <c r="D104" s="15"/>
      <c r="E104" s="16"/>
      <c r="F104" s="17">
        <f>IF(E104="","",IF(E104&gt;=40,1,ROUND(E104/160,2)))</f>
      </c>
      <c r="G104" s="18"/>
      <c r="H104" s="18"/>
      <c r="I104" s="19"/>
      <c r="J104" s="7"/>
    </row>
    <row r="105" ht="18" customHeight="1" spans="1:10" x14ac:dyDescent="0.25">
      <c r="A105" s="14">
        <v>99</v>
      </c>
      <c r="B105" s="7"/>
      <c r="C105" s="7"/>
      <c r="D105" s="15"/>
      <c r="E105" s="16"/>
      <c r="F105" s="17">
        <f>IF(E105="","",IF(E105&gt;=40,1,ROUND(E105/160,2)))</f>
      </c>
      <c r="G105" s="18"/>
      <c r="H105" s="18"/>
      <c r="I105" s="19"/>
      <c r="J105" s="7"/>
    </row>
    <row r="106" ht="18" customHeight="1" spans="1:10" x14ac:dyDescent="0.25">
      <c r="A106" s="20">
        <v>100</v>
      </c>
      <c r="B106" s="7"/>
      <c r="C106" s="7"/>
      <c r="D106" s="15"/>
      <c r="E106" s="16"/>
      <c r="F106" s="17">
        <f>IF(E106="","",IF(E106&gt;=40,1,ROUND(E106/160,2)))</f>
      </c>
      <c r="G106" s="18"/>
      <c r="H106" s="18"/>
      <c r="I106" s="19"/>
      <c r="J106" s="7"/>
    </row>
    <row r="107" ht="18" customHeight="1" spans="1:10" x14ac:dyDescent="0.25">
      <c r="A107" s="14">
        <v>101</v>
      </c>
      <c r="B107" s="7"/>
      <c r="C107" s="7"/>
      <c r="D107" s="15"/>
      <c r="E107" s="16"/>
      <c r="F107" s="17">
        <f>IF(E107="","",IF(E107&gt;=40,1,ROUND(E107/160,2)))</f>
      </c>
      <c r="G107" s="18"/>
      <c r="H107" s="18"/>
      <c r="I107" s="19"/>
      <c r="J107" s="7"/>
    </row>
    <row r="108" ht="18" customHeight="1" spans="1:10" x14ac:dyDescent="0.25">
      <c r="A108" s="20">
        <v>102</v>
      </c>
      <c r="B108" s="7"/>
      <c r="C108" s="7"/>
      <c r="D108" s="15"/>
      <c r="E108" s="16"/>
      <c r="F108" s="17">
        <f>IF(E108="","",IF(E108&gt;=40,1,ROUND(E108/160,2)))</f>
      </c>
      <c r="G108" s="18"/>
      <c r="H108" s="18"/>
      <c r="I108" s="19"/>
      <c r="J108" s="7"/>
    </row>
    <row r="109" ht="18" customHeight="1" spans="1:10" x14ac:dyDescent="0.25">
      <c r="A109" s="14">
        <v>103</v>
      </c>
      <c r="B109" s="7"/>
      <c r="C109" s="7"/>
      <c r="D109" s="15"/>
      <c r="E109" s="16"/>
      <c r="F109" s="17">
        <f>IF(E109="","",IF(E109&gt;=40,1,ROUND(E109/160,2)))</f>
      </c>
      <c r="G109" s="18"/>
      <c r="H109" s="18"/>
      <c r="I109" s="19"/>
      <c r="J109" s="7"/>
    </row>
    <row r="110" ht="18" customHeight="1" spans="1:10" x14ac:dyDescent="0.25">
      <c r="A110" s="20">
        <v>104</v>
      </c>
      <c r="B110" s="7"/>
      <c r="C110" s="7"/>
      <c r="D110" s="15"/>
      <c r="E110" s="16"/>
      <c r="F110" s="17">
        <f>IF(E110="","",IF(E110&gt;=40,1,ROUND(E110/160,2)))</f>
      </c>
      <c r="G110" s="18"/>
      <c r="H110" s="18"/>
      <c r="I110" s="19"/>
      <c r="J110" s="7"/>
    </row>
    <row r="111" ht="18" customHeight="1" spans="1:10" x14ac:dyDescent="0.25">
      <c r="A111" s="14">
        <v>105</v>
      </c>
      <c r="B111" s="7"/>
      <c r="C111" s="7"/>
      <c r="D111" s="15"/>
      <c r="E111" s="16"/>
      <c r="F111" s="17">
        <f>IF(E111="","",IF(E111&gt;=40,1,ROUND(E111/160,2)))</f>
      </c>
      <c r="G111" s="18"/>
      <c r="H111" s="18"/>
      <c r="I111" s="19"/>
      <c r="J111" s="7"/>
    </row>
    <row r="112" ht="18" customHeight="1" spans="1:10" x14ac:dyDescent="0.25">
      <c r="A112" s="20">
        <v>106</v>
      </c>
      <c r="B112" s="7"/>
      <c r="C112" s="7"/>
      <c r="D112" s="15"/>
      <c r="E112" s="16"/>
      <c r="F112" s="17">
        <f>IF(E112="","",IF(E112&gt;=40,1,ROUND(E112/160,2)))</f>
      </c>
      <c r="G112" s="18"/>
      <c r="H112" s="18"/>
      <c r="I112" s="19"/>
      <c r="J112" s="7"/>
    </row>
    <row r="113" ht="18" customHeight="1" spans="1:10" x14ac:dyDescent="0.25">
      <c r="A113" s="14">
        <v>107</v>
      </c>
      <c r="B113" s="7"/>
      <c r="C113" s="7"/>
      <c r="D113" s="15"/>
      <c r="E113" s="16"/>
      <c r="F113" s="17">
        <f>IF(E113="","",IF(E113&gt;=40,1,ROUND(E113/160,2)))</f>
      </c>
      <c r="G113" s="18"/>
      <c r="H113" s="18"/>
      <c r="I113" s="19"/>
      <c r="J113" s="7"/>
    </row>
    <row r="114" ht="18" customHeight="1" spans="1:10" x14ac:dyDescent="0.25">
      <c r="A114" s="20">
        <v>108</v>
      </c>
      <c r="B114" s="7"/>
      <c r="C114" s="7"/>
      <c r="D114" s="15"/>
      <c r="E114" s="16"/>
      <c r="F114" s="17">
        <f>IF(E114="","",IF(E114&gt;=40,1,ROUND(E114/160,2)))</f>
      </c>
      <c r="G114" s="18"/>
      <c r="H114" s="18"/>
      <c r="I114" s="19"/>
      <c r="J114" s="7"/>
    </row>
    <row r="115" ht="18" customHeight="1" spans="1:10" x14ac:dyDescent="0.25">
      <c r="A115" s="14">
        <v>109</v>
      </c>
      <c r="B115" s="7"/>
      <c r="C115" s="7"/>
      <c r="D115" s="15"/>
      <c r="E115" s="16"/>
      <c r="F115" s="17">
        <f>IF(E115="","",IF(E115&gt;=40,1,ROUND(E115/160,2)))</f>
      </c>
      <c r="G115" s="18"/>
      <c r="H115" s="18"/>
      <c r="I115" s="19"/>
      <c r="J115" s="7"/>
    </row>
    <row r="116" ht="18" customHeight="1" spans="1:10" x14ac:dyDescent="0.25">
      <c r="A116" s="20">
        <v>110</v>
      </c>
      <c r="B116" s="7"/>
      <c r="C116" s="7"/>
      <c r="D116" s="15"/>
      <c r="E116" s="16"/>
      <c r="F116" s="17">
        <f>IF(E116="","",IF(E116&gt;=40,1,ROUND(E116/160,2)))</f>
      </c>
      <c r="G116" s="18"/>
      <c r="H116" s="18"/>
      <c r="I116" s="19"/>
      <c r="J116" s="7"/>
    </row>
    <row r="117" ht="18" customHeight="1" spans="1:10" x14ac:dyDescent="0.25">
      <c r="A117" s="14">
        <v>111</v>
      </c>
      <c r="B117" s="7"/>
      <c r="C117" s="7"/>
      <c r="D117" s="15"/>
      <c r="E117" s="16"/>
      <c r="F117" s="17">
        <f>IF(E117="","",IF(E117&gt;=40,1,ROUND(E117/160,2)))</f>
      </c>
      <c r="G117" s="18"/>
      <c r="H117" s="18"/>
      <c r="I117" s="19"/>
      <c r="J117" s="7"/>
    </row>
    <row r="118" ht="18" customHeight="1" spans="1:10" x14ac:dyDescent="0.25">
      <c r="A118" s="20">
        <v>112</v>
      </c>
      <c r="B118" s="7"/>
      <c r="C118" s="7"/>
      <c r="D118" s="15"/>
      <c r="E118" s="16"/>
      <c r="F118" s="17">
        <f>IF(E118="","",IF(E118&gt;=40,1,ROUND(E118/160,2)))</f>
      </c>
      <c r="G118" s="18"/>
      <c r="H118" s="18"/>
      <c r="I118" s="19"/>
      <c r="J118" s="7"/>
    </row>
    <row r="119" ht="18" customHeight="1" spans="1:10" x14ac:dyDescent="0.25">
      <c r="A119" s="14">
        <v>113</v>
      </c>
      <c r="B119" s="7"/>
      <c r="C119" s="7"/>
      <c r="D119" s="15"/>
      <c r="E119" s="16"/>
      <c r="F119" s="17">
        <f>IF(E119="","",IF(E119&gt;=40,1,ROUND(E119/160,2)))</f>
      </c>
      <c r="G119" s="18"/>
      <c r="H119" s="18"/>
      <c r="I119" s="19"/>
      <c r="J119" s="7"/>
    </row>
    <row r="120" ht="18" customHeight="1" spans="1:10" x14ac:dyDescent="0.25">
      <c r="A120" s="20">
        <v>114</v>
      </c>
      <c r="B120" s="7"/>
      <c r="C120" s="7"/>
      <c r="D120" s="15"/>
      <c r="E120" s="16"/>
      <c r="F120" s="17">
        <f>IF(E120="","",IF(E120&gt;=40,1,ROUND(E120/160,2)))</f>
      </c>
      <c r="G120" s="18"/>
      <c r="H120" s="18"/>
      <c r="I120" s="19"/>
      <c r="J120" s="7"/>
    </row>
    <row r="121" ht="18" customHeight="1" spans="1:10" x14ac:dyDescent="0.25">
      <c r="A121" s="14">
        <v>115</v>
      </c>
      <c r="B121" s="7"/>
      <c r="C121" s="7"/>
      <c r="D121" s="15"/>
      <c r="E121" s="16"/>
      <c r="F121" s="17">
        <f>IF(E121="","",IF(E121&gt;=40,1,ROUND(E121/160,2)))</f>
      </c>
      <c r="G121" s="18"/>
      <c r="H121" s="18"/>
      <c r="I121" s="19"/>
      <c r="J121" s="7"/>
    </row>
    <row r="122" ht="18" customHeight="1" spans="1:10" x14ac:dyDescent="0.25">
      <c r="A122" s="20">
        <v>116</v>
      </c>
      <c r="B122" s="7"/>
      <c r="C122" s="7"/>
      <c r="D122" s="15"/>
      <c r="E122" s="16"/>
      <c r="F122" s="17">
        <f>IF(E122="","",IF(E122&gt;=40,1,ROUND(E122/160,2)))</f>
      </c>
      <c r="G122" s="18"/>
      <c r="H122" s="18"/>
      <c r="I122" s="19"/>
      <c r="J122" s="7"/>
    </row>
    <row r="123" ht="18" customHeight="1" spans="1:10" x14ac:dyDescent="0.25">
      <c r="A123" s="14">
        <v>117</v>
      </c>
      <c r="B123" s="7"/>
      <c r="C123" s="7"/>
      <c r="D123" s="15"/>
      <c r="E123" s="16"/>
      <c r="F123" s="17">
        <f>IF(E123="","",IF(E123&gt;=40,1,ROUND(E123/160,2)))</f>
      </c>
      <c r="G123" s="18"/>
      <c r="H123" s="18"/>
      <c r="I123" s="19"/>
      <c r="J123" s="7"/>
    </row>
    <row r="124" ht="18" customHeight="1" spans="1:10" x14ac:dyDescent="0.25">
      <c r="A124" s="20">
        <v>118</v>
      </c>
      <c r="B124" s="7"/>
      <c r="C124" s="7"/>
      <c r="D124" s="15"/>
      <c r="E124" s="16"/>
      <c r="F124" s="17">
        <f>IF(E124="","",IF(E124&gt;=40,1,ROUND(E124/160,2)))</f>
      </c>
      <c r="G124" s="18"/>
      <c r="H124" s="18"/>
      <c r="I124" s="19"/>
      <c r="J124" s="7"/>
    </row>
    <row r="125" ht="18" customHeight="1" spans="1:10" x14ac:dyDescent="0.25">
      <c r="A125" s="14">
        <v>119</v>
      </c>
      <c r="B125" s="7"/>
      <c r="C125" s="7"/>
      <c r="D125" s="15"/>
      <c r="E125" s="16"/>
      <c r="F125" s="17">
        <f>IF(E125="","",IF(E125&gt;=40,1,ROUND(E125/160,2)))</f>
      </c>
      <c r="G125" s="18"/>
      <c r="H125" s="18"/>
      <c r="I125" s="19"/>
      <c r="J125" s="7"/>
    </row>
    <row r="126" ht="18" customHeight="1" spans="1:10" x14ac:dyDescent="0.25">
      <c r="A126" s="20">
        <v>120</v>
      </c>
      <c r="B126" s="7"/>
      <c r="C126" s="7"/>
      <c r="D126" s="15"/>
      <c r="E126" s="16"/>
      <c r="F126" s="17">
        <f>IF(E126="","",IF(E126&gt;=40,1,ROUND(E126/160,2)))</f>
      </c>
      <c r="G126" s="18"/>
      <c r="H126" s="18"/>
      <c r="I126" s="19"/>
      <c r="J126" s="7"/>
    </row>
    <row r="127" ht="18" customHeight="1" spans="1:10" x14ac:dyDescent="0.25">
      <c r="A127" s="14">
        <v>121</v>
      </c>
      <c r="B127" s="7"/>
      <c r="C127" s="7"/>
      <c r="D127" s="15"/>
      <c r="E127" s="16"/>
      <c r="F127" s="17">
        <f>IF(E127="","",IF(E127&gt;=40,1,ROUND(E127/160,2)))</f>
      </c>
      <c r="G127" s="18"/>
      <c r="H127" s="18"/>
      <c r="I127" s="19"/>
      <c r="J127" s="7"/>
    </row>
    <row r="128" ht="18" customHeight="1" spans="1:10" x14ac:dyDescent="0.25">
      <c r="A128" s="20">
        <v>122</v>
      </c>
      <c r="B128" s="7"/>
      <c r="C128" s="7"/>
      <c r="D128" s="15"/>
      <c r="E128" s="16"/>
      <c r="F128" s="17">
        <f>IF(E128="","",IF(E128&gt;=40,1,ROUND(E128/160,2)))</f>
      </c>
      <c r="G128" s="18"/>
      <c r="H128" s="18"/>
      <c r="I128" s="19"/>
      <c r="J128" s="7"/>
    </row>
    <row r="129" ht="18" customHeight="1" spans="1:10" x14ac:dyDescent="0.25">
      <c r="A129" s="14">
        <v>123</v>
      </c>
      <c r="B129" s="7"/>
      <c r="C129" s="7"/>
      <c r="D129" s="15"/>
      <c r="E129" s="16"/>
      <c r="F129" s="17">
        <f>IF(E129="","",IF(E129&gt;=40,1,ROUND(E129/160,2)))</f>
      </c>
      <c r="G129" s="18"/>
      <c r="H129" s="18"/>
      <c r="I129" s="19"/>
      <c r="J129" s="7"/>
    </row>
    <row r="130" ht="18" customHeight="1" spans="1:10" x14ac:dyDescent="0.25">
      <c r="A130" s="20">
        <v>124</v>
      </c>
      <c r="B130" s="7"/>
      <c r="C130" s="7"/>
      <c r="D130" s="15"/>
      <c r="E130" s="16"/>
      <c r="F130" s="17">
        <f>IF(E130="","",IF(E130&gt;=40,1,ROUND(E130/160,2)))</f>
      </c>
      <c r="G130" s="18"/>
      <c r="H130" s="18"/>
      <c r="I130" s="19"/>
      <c r="J130" s="7"/>
    </row>
    <row r="131" ht="18" customHeight="1" spans="1:10" x14ac:dyDescent="0.25">
      <c r="A131" s="14">
        <v>125</v>
      </c>
      <c r="B131" s="7"/>
      <c r="C131" s="7"/>
      <c r="D131" s="15"/>
      <c r="E131" s="16"/>
      <c r="F131" s="17">
        <f>IF(E131="","",IF(E131&gt;=40,1,ROUND(E131/160,2)))</f>
      </c>
      <c r="G131" s="18"/>
      <c r="H131" s="18"/>
      <c r="I131" s="19"/>
      <c r="J131" s="7"/>
    </row>
    <row r="132" ht="18" customHeight="1" spans="1:10" x14ac:dyDescent="0.25">
      <c r="A132" s="20">
        <v>126</v>
      </c>
      <c r="B132" s="7"/>
      <c r="C132" s="7"/>
      <c r="D132" s="15"/>
      <c r="E132" s="16"/>
      <c r="F132" s="17">
        <f>IF(E132="","",IF(E132&gt;=40,1,ROUND(E132/160,2)))</f>
      </c>
      <c r="G132" s="18"/>
      <c r="H132" s="18"/>
      <c r="I132" s="19"/>
      <c r="J132" s="7"/>
    </row>
    <row r="133" ht="18" customHeight="1" spans="1:10" x14ac:dyDescent="0.25">
      <c r="A133" s="14">
        <v>127</v>
      </c>
      <c r="B133" s="7"/>
      <c r="C133" s="7"/>
      <c r="D133" s="15"/>
      <c r="E133" s="16"/>
      <c r="F133" s="17">
        <f>IF(E133="","",IF(E133&gt;=40,1,ROUND(E133/160,2)))</f>
      </c>
      <c r="G133" s="18"/>
      <c r="H133" s="18"/>
      <c r="I133" s="19"/>
      <c r="J133" s="7"/>
    </row>
    <row r="134" ht="18" customHeight="1" spans="1:10" x14ac:dyDescent="0.25">
      <c r="A134" s="20">
        <v>128</v>
      </c>
      <c r="B134" s="7"/>
      <c r="C134" s="7"/>
      <c r="D134" s="15"/>
      <c r="E134" s="16"/>
      <c r="F134" s="17">
        <f>IF(E134="","",IF(E134&gt;=40,1,ROUND(E134/160,2)))</f>
      </c>
      <c r="G134" s="18"/>
      <c r="H134" s="18"/>
      <c r="I134" s="19"/>
      <c r="J134" s="7"/>
    </row>
    <row r="135" ht="18" customHeight="1" spans="1:10" x14ac:dyDescent="0.25">
      <c r="A135" s="14">
        <v>129</v>
      </c>
      <c r="B135" s="7"/>
      <c r="C135" s="7"/>
      <c r="D135" s="15"/>
      <c r="E135" s="16"/>
      <c r="F135" s="17">
        <f>IF(E135="","",IF(E135&gt;=40,1,ROUND(E135/160,2)))</f>
      </c>
      <c r="G135" s="18"/>
      <c r="H135" s="18"/>
      <c r="I135" s="19"/>
      <c r="J135" s="7"/>
    </row>
    <row r="136" ht="18" customHeight="1" spans="1:10" x14ac:dyDescent="0.25">
      <c r="A136" s="20">
        <v>130</v>
      </c>
      <c r="B136" s="7"/>
      <c r="C136" s="7"/>
      <c r="D136" s="15"/>
      <c r="E136" s="16"/>
      <c r="F136" s="17">
        <f>IF(E136="","",IF(E136&gt;=40,1,ROUND(E136/160,2)))</f>
      </c>
      <c r="G136" s="18"/>
      <c r="H136" s="18"/>
      <c r="I136" s="19"/>
      <c r="J136" s="7"/>
    </row>
    <row r="137" ht="18" customHeight="1" spans="1:10" x14ac:dyDescent="0.25">
      <c r="A137" s="14">
        <v>131</v>
      </c>
      <c r="B137" s="7"/>
      <c r="C137" s="7"/>
      <c r="D137" s="15"/>
      <c r="E137" s="16"/>
      <c r="F137" s="17">
        <f>IF(E137="","",IF(E137&gt;=40,1,ROUND(E137/160,2)))</f>
      </c>
      <c r="G137" s="18"/>
      <c r="H137" s="18"/>
      <c r="I137" s="19"/>
      <c r="J137" s="7"/>
    </row>
    <row r="138" ht="18" customHeight="1" spans="1:10" x14ac:dyDescent="0.25">
      <c r="A138" s="20">
        <v>132</v>
      </c>
      <c r="B138" s="7"/>
      <c r="C138" s="7"/>
      <c r="D138" s="15"/>
      <c r="E138" s="16"/>
      <c r="F138" s="17">
        <f>IF(E138="","",IF(E138&gt;=40,1,ROUND(E138/160,2)))</f>
      </c>
      <c r="G138" s="18"/>
      <c r="H138" s="18"/>
      <c r="I138" s="19"/>
      <c r="J138" s="7"/>
    </row>
    <row r="139" ht="18" customHeight="1" spans="1:10" x14ac:dyDescent="0.25">
      <c r="A139" s="14">
        <v>133</v>
      </c>
      <c r="B139" s="7"/>
      <c r="C139" s="7"/>
      <c r="D139" s="15"/>
      <c r="E139" s="16"/>
      <c r="F139" s="17">
        <f>IF(E139="","",IF(E139&gt;=40,1,ROUND(E139/160,2)))</f>
      </c>
      <c r="G139" s="18"/>
      <c r="H139" s="18"/>
      <c r="I139" s="19"/>
      <c r="J139" s="7"/>
    </row>
    <row r="140" ht="18" customHeight="1" spans="1:10" x14ac:dyDescent="0.25">
      <c r="A140" s="20">
        <v>134</v>
      </c>
      <c r="B140" s="7"/>
      <c r="C140" s="7"/>
      <c r="D140" s="15"/>
      <c r="E140" s="16"/>
      <c r="F140" s="17">
        <f>IF(E140="","",IF(E140&gt;=40,1,ROUND(E140/160,2)))</f>
      </c>
      <c r="G140" s="18"/>
      <c r="H140" s="18"/>
      <c r="I140" s="19"/>
      <c r="J140" s="7"/>
    </row>
    <row r="141" ht="18" customHeight="1" spans="1:10" x14ac:dyDescent="0.25">
      <c r="A141" s="14">
        <v>135</v>
      </c>
      <c r="B141" s="7"/>
      <c r="C141" s="7"/>
      <c r="D141" s="15"/>
      <c r="E141" s="16"/>
      <c r="F141" s="17">
        <f>IF(E141="","",IF(E141&gt;=40,1,ROUND(E141/160,2)))</f>
      </c>
      <c r="G141" s="18"/>
      <c r="H141" s="18"/>
      <c r="I141" s="19"/>
      <c r="J141" s="7"/>
    </row>
    <row r="142" ht="18" customHeight="1" spans="1:10" x14ac:dyDescent="0.25">
      <c r="A142" s="20">
        <v>136</v>
      </c>
      <c r="B142" s="7"/>
      <c r="C142" s="7"/>
      <c r="D142" s="15"/>
      <c r="E142" s="16"/>
      <c r="F142" s="17">
        <f>IF(E142="","",IF(E142&gt;=40,1,ROUND(E142/160,2)))</f>
      </c>
      <c r="G142" s="18"/>
      <c r="H142" s="18"/>
      <c r="I142" s="19"/>
      <c r="J142" s="7"/>
    </row>
    <row r="143" ht="18" customHeight="1" spans="1:10" x14ac:dyDescent="0.25">
      <c r="A143" s="14">
        <v>137</v>
      </c>
      <c r="B143" s="7"/>
      <c r="C143" s="7"/>
      <c r="D143" s="15"/>
      <c r="E143" s="16"/>
      <c r="F143" s="17">
        <f>IF(E143="","",IF(E143&gt;=40,1,ROUND(E143/160,2)))</f>
      </c>
      <c r="G143" s="18"/>
      <c r="H143" s="18"/>
      <c r="I143" s="19"/>
      <c r="J143" s="7"/>
    </row>
    <row r="144" ht="18" customHeight="1" spans="1:10" x14ac:dyDescent="0.25">
      <c r="A144" s="20">
        <v>138</v>
      </c>
      <c r="B144" s="7"/>
      <c r="C144" s="7"/>
      <c r="D144" s="15"/>
      <c r="E144" s="16"/>
      <c r="F144" s="17">
        <f>IF(E144="","",IF(E144&gt;=40,1,ROUND(E144/160,2)))</f>
      </c>
      <c r="G144" s="18"/>
      <c r="H144" s="18"/>
      <c r="I144" s="19"/>
      <c r="J144" s="7"/>
    </row>
    <row r="145" ht="18" customHeight="1" spans="1:10" x14ac:dyDescent="0.25">
      <c r="A145" s="14">
        <v>139</v>
      </c>
      <c r="B145" s="7"/>
      <c r="C145" s="7"/>
      <c r="D145" s="15"/>
      <c r="E145" s="16"/>
      <c r="F145" s="17">
        <f>IF(E145="","",IF(E145&gt;=40,1,ROUND(E145/160,2)))</f>
      </c>
      <c r="G145" s="18"/>
      <c r="H145" s="18"/>
      <c r="I145" s="19"/>
      <c r="J145" s="7"/>
    </row>
    <row r="146" ht="18" customHeight="1" spans="1:10" x14ac:dyDescent="0.25">
      <c r="A146" s="20">
        <v>140</v>
      </c>
      <c r="B146" s="7"/>
      <c r="C146" s="7"/>
      <c r="D146" s="15"/>
      <c r="E146" s="16"/>
      <c r="F146" s="17">
        <f>IF(E146="","",IF(E146&gt;=40,1,ROUND(E146/160,2)))</f>
      </c>
      <c r="G146" s="18"/>
      <c r="H146" s="18"/>
      <c r="I146" s="19"/>
      <c r="J146" s="7"/>
    </row>
    <row r="147" ht="18" customHeight="1" spans="1:10" x14ac:dyDescent="0.25">
      <c r="A147" s="14">
        <v>141</v>
      </c>
      <c r="B147" s="7"/>
      <c r="C147" s="7"/>
      <c r="D147" s="15"/>
      <c r="E147" s="16"/>
      <c r="F147" s="17">
        <f>IF(E147="","",IF(E147&gt;=40,1,ROUND(E147/160,2)))</f>
      </c>
      <c r="G147" s="18"/>
      <c r="H147" s="18"/>
      <c r="I147" s="19"/>
      <c r="J147" s="7"/>
    </row>
    <row r="148" ht="18" customHeight="1" spans="1:10" x14ac:dyDescent="0.25">
      <c r="A148" s="20">
        <v>142</v>
      </c>
      <c r="B148" s="7"/>
      <c r="C148" s="7"/>
      <c r="D148" s="15"/>
      <c r="E148" s="16"/>
      <c r="F148" s="17">
        <f>IF(E148="","",IF(E148&gt;=40,1,ROUND(E148/160,2)))</f>
      </c>
      <c r="G148" s="18"/>
      <c r="H148" s="18"/>
      <c r="I148" s="19"/>
      <c r="J148" s="7"/>
    </row>
    <row r="149" ht="18" customHeight="1" spans="1:10" x14ac:dyDescent="0.25">
      <c r="A149" s="14">
        <v>143</v>
      </c>
      <c r="B149" s="7"/>
      <c r="C149" s="7"/>
      <c r="D149" s="15"/>
      <c r="E149" s="16"/>
      <c r="F149" s="17">
        <f>IF(E149="","",IF(E149&gt;=40,1,ROUND(E149/160,2)))</f>
      </c>
      <c r="G149" s="18"/>
      <c r="H149" s="18"/>
      <c r="I149" s="19"/>
      <c r="J149" s="7"/>
    </row>
    <row r="150" ht="18" customHeight="1" spans="1:10" x14ac:dyDescent="0.25">
      <c r="A150" s="20">
        <v>144</v>
      </c>
      <c r="B150" s="7"/>
      <c r="C150" s="7"/>
      <c r="D150" s="15"/>
      <c r="E150" s="16"/>
      <c r="F150" s="17">
        <f>IF(E150="","",IF(E150&gt;=40,1,ROUND(E150/160,2)))</f>
      </c>
      <c r="G150" s="18"/>
      <c r="H150" s="18"/>
      <c r="I150" s="19"/>
      <c r="J150" s="7"/>
    </row>
    <row r="151" ht="18" customHeight="1" spans="1:10" x14ac:dyDescent="0.25">
      <c r="A151" s="14">
        <v>145</v>
      </c>
      <c r="B151" s="7"/>
      <c r="C151" s="7"/>
      <c r="D151" s="15"/>
      <c r="E151" s="16"/>
      <c r="F151" s="17">
        <f>IF(E151="","",IF(E151&gt;=40,1,ROUND(E151/160,2)))</f>
      </c>
      <c r="G151" s="18"/>
      <c r="H151" s="18"/>
      <c r="I151" s="19"/>
      <c r="J151" s="7"/>
    </row>
    <row r="152" ht="18" customHeight="1" spans="1:10" x14ac:dyDescent="0.25">
      <c r="A152" s="20">
        <v>146</v>
      </c>
      <c r="B152" s="7"/>
      <c r="C152" s="7"/>
      <c r="D152" s="15"/>
      <c r="E152" s="16"/>
      <c r="F152" s="17">
        <f>IF(E152="","",IF(E152&gt;=40,1,ROUND(E152/160,2)))</f>
      </c>
      <c r="G152" s="18"/>
      <c r="H152" s="18"/>
      <c r="I152" s="19"/>
      <c r="J152" s="7"/>
    </row>
    <row r="153" ht="18" customHeight="1" spans="1:10" x14ac:dyDescent="0.25">
      <c r="A153" s="14">
        <v>147</v>
      </c>
      <c r="B153" s="7"/>
      <c r="C153" s="7"/>
      <c r="D153" s="15"/>
      <c r="E153" s="16"/>
      <c r="F153" s="17">
        <f>IF(E153="","",IF(E153&gt;=40,1,ROUND(E153/160,2)))</f>
      </c>
      <c r="G153" s="18"/>
      <c r="H153" s="18"/>
      <c r="I153" s="19"/>
      <c r="J153" s="7"/>
    </row>
    <row r="154" ht="18" customHeight="1" spans="1:10" x14ac:dyDescent="0.25">
      <c r="A154" s="20">
        <v>148</v>
      </c>
      <c r="B154" s="7"/>
      <c r="C154" s="7"/>
      <c r="D154" s="15"/>
      <c r="E154" s="16"/>
      <c r="F154" s="17">
        <f>IF(E154="","",IF(E154&gt;=40,1,ROUND(E154/160,2)))</f>
      </c>
      <c r="G154" s="18"/>
      <c r="H154" s="18"/>
      <c r="I154" s="19"/>
      <c r="J154" s="7"/>
    </row>
    <row r="155" ht="18" customHeight="1" spans="1:10" x14ac:dyDescent="0.25">
      <c r="A155" s="14">
        <v>149</v>
      </c>
      <c r="B155" s="7"/>
      <c r="C155" s="7"/>
      <c r="D155" s="15"/>
      <c r="E155" s="16"/>
      <c r="F155" s="17">
        <f>IF(E155="","",IF(E155&gt;=40,1,ROUND(E155/160,2)))</f>
      </c>
      <c r="G155" s="18"/>
      <c r="H155" s="18"/>
      <c r="I155" s="19"/>
      <c r="J155" s="7"/>
    </row>
    <row r="156" ht="18" customHeight="1" spans="1:10" x14ac:dyDescent="0.25">
      <c r="A156" s="20">
        <v>150</v>
      </c>
      <c r="B156" s="7"/>
      <c r="C156" s="7"/>
      <c r="D156" s="15"/>
      <c r="E156" s="16"/>
      <c r="F156" s="17">
        <f>IF(E156="","",IF(E156&gt;=40,1,ROUND(E156/160,2)))</f>
      </c>
      <c r="G156" s="18"/>
      <c r="H156" s="18"/>
      <c r="I156" s="19"/>
      <c r="J156" s="7"/>
    </row>
    <row r="157" ht="18" customHeight="1" spans="1:10" x14ac:dyDescent="0.25">
      <c r="A157" s="14">
        <v>151</v>
      </c>
      <c r="B157" s="7"/>
      <c r="C157" s="7"/>
      <c r="D157" s="15"/>
      <c r="E157" s="16"/>
      <c r="F157" s="17">
        <f>IF(E157="","",IF(E157&gt;=40,1,ROUND(E157/160,2)))</f>
      </c>
      <c r="G157" s="18"/>
      <c r="H157" s="18"/>
      <c r="I157" s="19"/>
      <c r="J157" s="7"/>
    </row>
    <row r="158" ht="18" customHeight="1" spans="1:10" x14ac:dyDescent="0.25">
      <c r="A158" s="20">
        <v>152</v>
      </c>
      <c r="B158" s="7"/>
      <c r="C158" s="7"/>
      <c r="D158" s="15"/>
      <c r="E158" s="16"/>
      <c r="F158" s="17">
        <f>IF(E158="","",IF(E158&gt;=40,1,ROUND(E158/160,2)))</f>
      </c>
      <c r="G158" s="18"/>
      <c r="H158" s="18"/>
      <c r="I158" s="19"/>
      <c r="J158" s="7"/>
    </row>
    <row r="159" ht="18" customHeight="1" spans="1:10" x14ac:dyDescent="0.25">
      <c r="A159" s="14">
        <v>153</v>
      </c>
      <c r="B159" s="7"/>
      <c r="C159" s="7"/>
      <c r="D159" s="15"/>
      <c r="E159" s="16"/>
      <c r="F159" s="17">
        <f>IF(E159="","",IF(E159&gt;=40,1,ROUND(E159/160,2)))</f>
      </c>
      <c r="G159" s="18"/>
      <c r="H159" s="18"/>
      <c r="I159" s="19"/>
      <c r="J159" s="7"/>
    </row>
    <row r="160" ht="18" customHeight="1" spans="1:10" x14ac:dyDescent="0.25">
      <c r="A160" s="20">
        <v>154</v>
      </c>
      <c r="B160" s="7"/>
      <c r="C160" s="7"/>
      <c r="D160" s="15"/>
      <c r="E160" s="16"/>
      <c r="F160" s="17">
        <f>IF(E160="","",IF(E160&gt;=40,1,ROUND(E160/160,2)))</f>
      </c>
      <c r="G160" s="18"/>
      <c r="H160" s="18"/>
      <c r="I160" s="19"/>
      <c r="J160" s="7"/>
    </row>
    <row r="161" ht="18" customHeight="1" spans="1:10" x14ac:dyDescent="0.25">
      <c r="A161" s="14">
        <v>155</v>
      </c>
      <c r="B161" s="7"/>
      <c r="C161" s="7"/>
      <c r="D161" s="15"/>
      <c r="E161" s="16"/>
      <c r="F161" s="17">
        <f>IF(E161="","",IF(E161&gt;=40,1,ROUND(E161/160,2)))</f>
      </c>
      <c r="G161" s="18"/>
      <c r="H161" s="18"/>
      <c r="I161" s="19"/>
      <c r="J161" s="7"/>
    </row>
    <row r="162" ht="18" customHeight="1" spans="1:10" x14ac:dyDescent="0.25">
      <c r="A162" s="20">
        <v>156</v>
      </c>
      <c r="B162" s="7"/>
      <c r="C162" s="7"/>
      <c r="D162" s="15"/>
      <c r="E162" s="16"/>
      <c r="F162" s="17">
        <f>IF(E162="","",IF(E162&gt;=40,1,ROUND(E162/160,2)))</f>
      </c>
      <c r="G162" s="18"/>
      <c r="H162" s="18"/>
      <c r="I162" s="19"/>
      <c r="J162" s="7"/>
    </row>
    <row r="163" ht="18" customHeight="1" spans="1:10" x14ac:dyDescent="0.25">
      <c r="A163" s="14">
        <v>157</v>
      </c>
      <c r="B163" s="7"/>
      <c r="C163" s="7"/>
      <c r="D163" s="15"/>
      <c r="E163" s="16"/>
      <c r="F163" s="17">
        <f>IF(E163="","",IF(E163&gt;=40,1,ROUND(E163/160,2)))</f>
      </c>
      <c r="G163" s="18"/>
      <c r="H163" s="18"/>
      <c r="I163" s="19"/>
      <c r="J163" s="7"/>
    </row>
    <row r="164" ht="18" customHeight="1" spans="1:10" x14ac:dyDescent="0.25">
      <c r="A164" s="20">
        <v>158</v>
      </c>
      <c r="B164" s="7"/>
      <c r="C164" s="7"/>
      <c r="D164" s="15"/>
      <c r="E164" s="16"/>
      <c r="F164" s="17">
        <f>IF(E164="","",IF(E164&gt;=40,1,ROUND(E164/160,2)))</f>
      </c>
      <c r="G164" s="18"/>
      <c r="H164" s="18"/>
      <c r="I164" s="19"/>
      <c r="J164" s="7"/>
    </row>
    <row r="165" ht="18" customHeight="1" spans="1:10" x14ac:dyDescent="0.25">
      <c r="A165" s="14">
        <v>159</v>
      </c>
      <c r="B165" s="7"/>
      <c r="C165" s="7"/>
      <c r="D165" s="15"/>
      <c r="E165" s="16"/>
      <c r="F165" s="17">
        <f>IF(E165="","",IF(E165&gt;=40,1,ROUND(E165/160,2)))</f>
      </c>
      <c r="G165" s="18"/>
      <c r="H165" s="18"/>
      <c r="I165" s="19"/>
      <c r="J165" s="7"/>
    </row>
    <row r="166" ht="18" customHeight="1" spans="1:10" x14ac:dyDescent="0.25">
      <c r="A166" s="20">
        <v>160</v>
      </c>
      <c r="B166" s="7"/>
      <c r="C166" s="7"/>
      <c r="D166" s="15"/>
      <c r="E166" s="16"/>
      <c r="F166" s="17">
        <f>IF(E166="","",IF(E166&gt;=40,1,ROUND(E166/160,2)))</f>
      </c>
      <c r="G166" s="18"/>
      <c r="H166" s="18"/>
      <c r="I166" s="19"/>
      <c r="J166" s="7"/>
    </row>
    <row r="167" ht="18" customHeight="1" spans="1:10" x14ac:dyDescent="0.25">
      <c r="A167" s="14">
        <v>161</v>
      </c>
      <c r="B167" s="7"/>
      <c r="C167" s="7"/>
      <c r="D167" s="15"/>
      <c r="E167" s="16"/>
      <c r="F167" s="17">
        <f>IF(E167="","",IF(E167&gt;=40,1,ROUND(E167/160,2)))</f>
      </c>
      <c r="G167" s="18"/>
      <c r="H167" s="18"/>
      <c r="I167" s="19"/>
      <c r="J167" s="7"/>
    </row>
    <row r="168" ht="18" customHeight="1" spans="1:10" x14ac:dyDescent="0.25">
      <c r="A168" s="20">
        <v>162</v>
      </c>
      <c r="B168" s="7"/>
      <c r="C168" s="7"/>
      <c r="D168" s="15"/>
      <c r="E168" s="16"/>
      <c r="F168" s="17">
        <f>IF(E168="","",IF(E168&gt;=40,1,ROUND(E168/160,2)))</f>
      </c>
      <c r="G168" s="18"/>
      <c r="H168" s="18"/>
      <c r="I168" s="19"/>
      <c r="J168" s="7"/>
    </row>
    <row r="169" ht="18" customHeight="1" spans="1:10" x14ac:dyDescent="0.25">
      <c r="A169" s="14">
        <v>163</v>
      </c>
      <c r="B169" s="7"/>
      <c r="C169" s="7"/>
      <c r="D169" s="15"/>
      <c r="E169" s="16"/>
      <c r="F169" s="17">
        <f>IF(E169="","",IF(E169&gt;=40,1,ROUND(E169/160,2)))</f>
      </c>
      <c r="G169" s="18"/>
      <c r="H169" s="18"/>
      <c r="I169" s="19"/>
      <c r="J169" s="7"/>
    </row>
    <row r="170" ht="18" customHeight="1" spans="1:10" x14ac:dyDescent="0.25">
      <c r="A170" s="20">
        <v>164</v>
      </c>
      <c r="B170" s="7"/>
      <c r="C170" s="7"/>
      <c r="D170" s="15"/>
      <c r="E170" s="16"/>
      <c r="F170" s="17">
        <f>IF(E170="","",IF(E170&gt;=40,1,ROUND(E170/160,2)))</f>
      </c>
      <c r="G170" s="18"/>
      <c r="H170" s="18"/>
      <c r="I170" s="19"/>
      <c r="J170" s="7"/>
    </row>
    <row r="171" ht="18" customHeight="1" spans="1:10" x14ac:dyDescent="0.25">
      <c r="A171" s="14">
        <v>165</v>
      </c>
      <c r="B171" s="7"/>
      <c r="C171" s="7"/>
      <c r="D171" s="15"/>
      <c r="E171" s="16"/>
      <c r="F171" s="17">
        <f>IF(E171="","",IF(E171&gt;=40,1,ROUND(E171/160,2)))</f>
      </c>
      <c r="G171" s="18"/>
      <c r="H171" s="18"/>
      <c r="I171" s="19"/>
      <c r="J171" s="7"/>
    </row>
    <row r="172" ht="18" customHeight="1" spans="1:10" x14ac:dyDescent="0.25">
      <c r="A172" s="20">
        <v>166</v>
      </c>
      <c r="B172" s="7"/>
      <c r="C172" s="7"/>
      <c r="D172" s="15"/>
      <c r="E172" s="16"/>
      <c r="F172" s="17">
        <f>IF(E172="","",IF(E172&gt;=40,1,ROUND(E172/160,2)))</f>
      </c>
      <c r="G172" s="18"/>
      <c r="H172" s="18"/>
      <c r="I172" s="19"/>
      <c r="J172" s="7"/>
    </row>
    <row r="173" ht="18" customHeight="1" spans="1:10" x14ac:dyDescent="0.25">
      <c r="A173" s="14">
        <v>167</v>
      </c>
      <c r="B173" s="7"/>
      <c r="C173" s="7"/>
      <c r="D173" s="15"/>
      <c r="E173" s="16"/>
      <c r="F173" s="17">
        <f>IF(E173="","",IF(E173&gt;=40,1,ROUND(E173/160,2)))</f>
      </c>
      <c r="G173" s="18"/>
      <c r="H173" s="18"/>
      <c r="I173" s="19"/>
      <c r="J173" s="7"/>
    </row>
    <row r="174" ht="18" customHeight="1" spans="1:10" x14ac:dyDescent="0.25">
      <c r="A174" s="20">
        <v>168</v>
      </c>
      <c r="B174" s="7"/>
      <c r="C174" s="7"/>
      <c r="D174" s="15"/>
      <c r="E174" s="16"/>
      <c r="F174" s="17">
        <f>IF(E174="","",IF(E174&gt;=40,1,ROUND(E174/160,2)))</f>
      </c>
      <c r="G174" s="18"/>
      <c r="H174" s="18"/>
      <c r="I174" s="19"/>
      <c r="J174" s="7"/>
    </row>
    <row r="175" ht="18" customHeight="1" spans="1:10" x14ac:dyDescent="0.25">
      <c r="A175" s="14">
        <v>169</v>
      </c>
      <c r="B175" s="7"/>
      <c r="C175" s="7"/>
      <c r="D175" s="15"/>
      <c r="E175" s="16"/>
      <c r="F175" s="17">
        <f>IF(E175="","",IF(E175&gt;=40,1,ROUND(E175/160,2)))</f>
      </c>
      <c r="G175" s="18"/>
      <c r="H175" s="18"/>
      <c r="I175" s="19"/>
      <c r="J175" s="7"/>
    </row>
    <row r="176" ht="18" customHeight="1" spans="1:10" x14ac:dyDescent="0.25">
      <c r="A176" s="20">
        <v>170</v>
      </c>
      <c r="B176" s="7"/>
      <c r="C176" s="7"/>
      <c r="D176" s="15"/>
      <c r="E176" s="16"/>
      <c r="F176" s="17">
        <f>IF(E176="","",IF(E176&gt;=40,1,ROUND(E176/160,2)))</f>
      </c>
      <c r="G176" s="18"/>
      <c r="H176" s="18"/>
      <c r="I176" s="19"/>
      <c r="J176" s="7"/>
    </row>
    <row r="177" ht="18" customHeight="1" spans="1:10" x14ac:dyDescent="0.25">
      <c r="A177" s="14">
        <v>171</v>
      </c>
      <c r="B177" s="7"/>
      <c r="C177" s="7"/>
      <c r="D177" s="15"/>
      <c r="E177" s="16"/>
      <c r="F177" s="17">
        <f>IF(E177="","",IF(E177&gt;=40,1,ROUND(E177/160,2)))</f>
      </c>
      <c r="G177" s="18"/>
      <c r="H177" s="18"/>
      <c r="I177" s="19"/>
      <c r="J177" s="7"/>
    </row>
    <row r="178" ht="18" customHeight="1" spans="1:10" x14ac:dyDescent="0.25">
      <c r="A178" s="20">
        <v>172</v>
      </c>
      <c r="B178" s="7"/>
      <c r="C178" s="7"/>
      <c r="D178" s="15"/>
      <c r="E178" s="16"/>
      <c r="F178" s="17">
        <f>IF(E178="","",IF(E178&gt;=40,1,ROUND(E178/160,2)))</f>
      </c>
      <c r="G178" s="18"/>
      <c r="H178" s="18"/>
      <c r="I178" s="19"/>
      <c r="J178" s="7"/>
    </row>
    <row r="179" ht="18" customHeight="1" spans="1:10" x14ac:dyDescent="0.25">
      <c r="A179" s="14">
        <v>173</v>
      </c>
      <c r="B179" s="7"/>
      <c r="C179" s="7"/>
      <c r="D179" s="15"/>
      <c r="E179" s="16"/>
      <c r="F179" s="17">
        <f>IF(E179="","",IF(E179&gt;=40,1,ROUND(E179/160,2)))</f>
      </c>
      <c r="G179" s="18"/>
      <c r="H179" s="18"/>
      <c r="I179" s="19"/>
      <c r="J179" s="7"/>
    </row>
    <row r="180" ht="18" customHeight="1" spans="1:10" x14ac:dyDescent="0.25">
      <c r="A180" s="20">
        <v>174</v>
      </c>
      <c r="B180" s="7"/>
      <c r="C180" s="7"/>
      <c r="D180" s="15"/>
      <c r="E180" s="16"/>
      <c r="F180" s="17">
        <f>IF(E180="","",IF(E180&gt;=40,1,ROUND(E180/160,2)))</f>
      </c>
      <c r="G180" s="18"/>
      <c r="H180" s="18"/>
      <c r="I180" s="19"/>
      <c r="J180" s="7"/>
    </row>
    <row r="181" ht="18" customHeight="1" spans="1:10" x14ac:dyDescent="0.25">
      <c r="A181" s="14">
        <v>175</v>
      </c>
      <c r="B181" s="7"/>
      <c r="C181" s="7"/>
      <c r="D181" s="15"/>
      <c r="E181" s="16"/>
      <c r="F181" s="17">
        <f>IF(E181="","",IF(E181&gt;=40,1,ROUND(E181/160,2)))</f>
      </c>
      <c r="G181" s="18"/>
      <c r="H181" s="18"/>
      <c r="I181" s="19"/>
      <c r="J181" s="7"/>
    </row>
    <row r="182" ht="18" customHeight="1" spans="1:10" x14ac:dyDescent="0.25">
      <c r="A182" s="20">
        <v>176</v>
      </c>
      <c r="B182" s="7"/>
      <c r="C182" s="7"/>
      <c r="D182" s="15"/>
      <c r="E182" s="16"/>
      <c r="F182" s="17">
        <f>IF(E182="","",IF(E182&gt;=40,1,ROUND(E182/160,2)))</f>
      </c>
      <c r="G182" s="18"/>
      <c r="H182" s="18"/>
      <c r="I182" s="19"/>
      <c r="J182" s="7"/>
    </row>
    <row r="183" ht="18" customHeight="1" spans="1:10" x14ac:dyDescent="0.25">
      <c r="A183" s="14">
        <v>177</v>
      </c>
      <c r="B183" s="7"/>
      <c r="C183" s="7"/>
      <c r="D183" s="15"/>
      <c r="E183" s="16"/>
      <c r="F183" s="17">
        <f>IF(E183="","",IF(E183&gt;=40,1,ROUND(E183/160,2)))</f>
      </c>
      <c r="G183" s="18"/>
      <c r="H183" s="18"/>
      <c r="I183" s="19"/>
      <c r="J183" s="7"/>
    </row>
    <row r="184" ht="18" customHeight="1" spans="1:10" x14ac:dyDescent="0.25">
      <c r="A184" s="20">
        <v>178</v>
      </c>
      <c r="B184" s="7"/>
      <c r="C184" s="7"/>
      <c r="D184" s="15"/>
      <c r="E184" s="16"/>
      <c r="F184" s="17">
        <f>IF(E184="","",IF(E184&gt;=40,1,ROUND(E184/160,2)))</f>
      </c>
      <c r="G184" s="18"/>
      <c r="H184" s="18"/>
      <c r="I184" s="19"/>
      <c r="J184" s="7"/>
    </row>
    <row r="185" ht="18" customHeight="1" spans="1:10" x14ac:dyDescent="0.25">
      <c r="A185" s="14">
        <v>179</v>
      </c>
      <c r="B185" s="7"/>
      <c r="C185" s="7"/>
      <c r="D185" s="15"/>
      <c r="E185" s="16"/>
      <c r="F185" s="17">
        <f>IF(E185="","",IF(E185&gt;=40,1,ROUND(E185/160,2)))</f>
      </c>
      <c r="G185" s="18"/>
      <c r="H185" s="18"/>
      <c r="I185" s="19"/>
      <c r="J185" s="7"/>
    </row>
    <row r="186" ht="18" customHeight="1" spans="1:10" x14ac:dyDescent="0.25">
      <c r="A186" s="20">
        <v>180</v>
      </c>
      <c r="B186" s="7"/>
      <c r="C186" s="7"/>
      <c r="D186" s="15"/>
      <c r="E186" s="16"/>
      <c r="F186" s="17">
        <f>IF(E186="","",IF(E186&gt;=40,1,ROUND(E186/160,2)))</f>
      </c>
      <c r="G186" s="18"/>
      <c r="H186" s="18"/>
      <c r="I186" s="19"/>
      <c r="J186" s="7"/>
    </row>
    <row r="187" ht="18" customHeight="1" spans="1:10" x14ac:dyDescent="0.25">
      <c r="A187" s="14">
        <v>181</v>
      </c>
      <c r="B187" s="7"/>
      <c r="C187" s="7"/>
      <c r="D187" s="15"/>
      <c r="E187" s="16"/>
      <c r="F187" s="17">
        <f>IF(E187="","",IF(E187&gt;=40,1,ROUND(E187/160,2)))</f>
      </c>
      <c r="G187" s="18"/>
      <c r="H187" s="18"/>
      <c r="I187" s="19"/>
      <c r="J187" s="7"/>
    </row>
    <row r="188" ht="18" customHeight="1" spans="1:10" x14ac:dyDescent="0.25">
      <c r="A188" s="20">
        <v>182</v>
      </c>
      <c r="B188" s="7"/>
      <c r="C188" s="7"/>
      <c r="D188" s="15"/>
      <c r="E188" s="16"/>
      <c r="F188" s="17">
        <f>IF(E188="","",IF(E188&gt;=40,1,ROUND(E188/160,2)))</f>
      </c>
      <c r="G188" s="18"/>
      <c r="H188" s="18"/>
      <c r="I188" s="19"/>
      <c r="J188" s="7"/>
    </row>
    <row r="189" ht="18" customHeight="1" spans="1:10" x14ac:dyDescent="0.25">
      <c r="A189" s="14">
        <v>183</v>
      </c>
      <c r="B189" s="7"/>
      <c r="C189" s="7"/>
      <c r="D189" s="15"/>
      <c r="E189" s="16"/>
      <c r="F189" s="17">
        <f>IF(E189="","",IF(E189&gt;=40,1,ROUND(E189/160,2)))</f>
      </c>
      <c r="G189" s="18"/>
      <c r="H189" s="18"/>
      <c r="I189" s="19"/>
      <c r="J189" s="7"/>
    </row>
    <row r="190" ht="18" customHeight="1" spans="1:10" x14ac:dyDescent="0.25">
      <c r="A190" s="20">
        <v>184</v>
      </c>
      <c r="B190" s="7"/>
      <c r="C190" s="7"/>
      <c r="D190" s="15"/>
      <c r="E190" s="16"/>
      <c r="F190" s="17">
        <f>IF(E190="","",IF(E190&gt;=40,1,ROUND(E190/160,2)))</f>
      </c>
      <c r="G190" s="18"/>
      <c r="H190" s="18"/>
      <c r="I190" s="19"/>
      <c r="J190" s="7"/>
    </row>
    <row r="191" ht="18" customHeight="1" spans="1:10" x14ac:dyDescent="0.25">
      <c r="A191" s="14">
        <v>185</v>
      </c>
      <c r="B191" s="7"/>
      <c r="C191" s="7"/>
      <c r="D191" s="15"/>
      <c r="E191" s="16"/>
      <c r="F191" s="17">
        <f>IF(E191="","",IF(E191&gt;=40,1,ROUND(E191/160,2)))</f>
      </c>
      <c r="G191" s="18"/>
      <c r="H191" s="18"/>
      <c r="I191" s="19"/>
      <c r="J191" s="7"/>
    </row>
    <row r="192" ht="18" customHeight="1" spans="1:10" x14ac:dyDescent="0.25">
      <c r="A192" s="20">
        <v>186</v>
      </c>
      <c r="B192" s="7"/>
      <c r="C192" s="7"/>
      <c r="D192" s="15"/>
      <c r="E192" s="16"/>
      <c r="F192" s="17">
        <f>IF(E192="","",IF(E192&gt;=40,1,ROUND(E192/160,2)))</f>
      </c>
      <c r="G192" s="18"/>
      <c r="H192" s="18"/>
      <c r="I192" s="19"/>
      <c r="J192" s="7"/>
    </row>
    <row r="193" ht="18" customHeight="1" spans="1:10" x14ac:dyDescent="0.25">
      <c r="A193" s="14">
        <v>187</v>
      </c>
      <c r="B193" s="7"/>
      <c r="C193" s="7"/>
      <c r="D193" s="15"/>
      <c r="E193" s="16"/>
      <c r="F193" s="17">
        <f>IF(E193="","",IF(E193&gt;=40,1,ROUND(E193/160,2)))</f>
      </c>
      <c r="G193" s="18"/>
      <c r="H193" s="18"/>
      <c r="I193" s="19"/>
      <c r="J193" s="7"/>
    </row>
    <row r="194" ht="18" customHeight="1" spans="1:10" x14ac:dyDescent="0.25">
      <c r="A194" s="20">
        <v>188</v>
      </c>
      <c r="B194" s="7"/>
      <c r="C194" s="7"/>
      <c r="D194" s="15"/>
      <c r="E194" s="16"/>
      <c r="F194" s="17">
        <f>IF(E194="","",IF(E194&gt;=40,1,ROUND(E194/160,2)))</f>
      </c>
      <c r="G194" s="18"/>
      <c r="H194" s="18"/>
      <c r="I194" s="19"/>
      <c r="J194" s="7"/>
    </row>
    <row r="195" ht="18" customHeight="1" spans="1:10" x14ac:dyDescent="0.25">
      <c r="A195" s="14">
        <v>189</v>
      </c>
      <c r="B195" s="7"/>
      <c r="C195" s="7"/>
      <c r="D195" s="15"/>
      <c r="E195" s="16"/>
      <c r="F195" s="17">
        <f>IF(E195="","",IF(E195&gt;=40,1,ROUND(E195/160,2)))</f>
      </c>
      <c r="G195" s="18"/>
      <c r="H195" s="18"/>
      <c r="I195" s="19"/>
      <c r="J195" s="7"/>
    </row>
    <row r="196" ht="18" customHeight="1" spans="1:10" x14ac:dyDescent="0.25">
      <c r="A196" s="20">
        <v>190</v>
      </c>
      <c r="B196" s="7"/>
      <c r="C196" s="7"/>
      <c r="D196" s="15"/>
      <c r="E196" s="16"/>
      <c r="F196" s="17">
        <f>IF(E196="","",IF(E196&gt;=40,1,ROUND(E196/160,2)))</f>
      </c>
      <c r="G196" s="18"/>
      <c r="H196" s="18"/>
      <c r="I196" s="19"/>
      <c r="J196" s="7"/>
    </row>
    <row r="197" ht="18" customHeight="1" spans="1:10" x14ac:dyDescent="0.25">
      <c r="A197" s="14">
        <v>191</v>
      </c>
      <c r="B197" s="7"/>
      <c r="C197" s="7"/>
      <c r="D197" s="15"/>
      <c r="E197" s="16"/>
      <c r="F197" s="17">
        <f>IF(E197="","",IF(E197&gt;=40,1,ROUND(E197/160,2)))</f>
      </c>
      <c r="G197" s="18"/>
      <c r="H197" s="18"/>
      <c r="I197" s="19"/>
      <c r="J197" s="7"/>
    </row>
    <row r="198" ht="18" customHeight="1" spans="1:10" x14ac:dyDescent="0.25">
      <c r="A198" s="20">
        <v>192</v>
      </c>
      <c r="B198" s="7"/>
      <c r="C198" s="7"/>
      <c r="D198" s="15"/>
      <c r="E198" s="16"/>
      <c r="F198" s="17">
        <f>IF(E198="","",IF(E198&gt;=40,1,ROUND(E198/160,2)))</f>
      </c>
      <c r="G198" s="18"/>
      <c r="H198" s="18"/>
      <c r="I198" s="19"/>
      <c r="J198" s="7"/>
    </row>
    <row r="199" ht="18" customHeight="1" spans="1:10" x14ac:dyDescent="0.25">
      <c r="A199" s="14">
        <v>193</v>
      </c>
      <c r="B199" s="7"/>
      <c r="C199" s="7"/>
      <c r="D199" s="15"/>
      <c r="E199" s="16"/>
      <c r="F199" s="17">
        <f>IF(E199="","",IF(E199&gt;=40,1,ROUND(E199/160,2)))</f>
      </c>
      <c r="G199" s="18"/>
      <c r="H199" s="18"/>
      <c r="I199" s="19"/>
      <c r="J199" s="7"/>
    </row>
    <row r="200" ht="18" customHeight="1" spans="1:10" x14ac:dyDescent="0.25">
      <c r="A200" s="20">
        <v>194</v>
      </c>
      <c r="B200" s="7"/>
      <c r="C200" s="7"/>
      <c r="D200" s="15"/>
      <c r="E200" s="16"/>
      <c r="F200" s="17">
        <f>IF(E200="","",IF(E200&gt;=40,1,ROUND(E200/160,2)))</f>
      </c>
      <c r="G200" s="18"/>
      <c r="H200" s="18"/>
      <c r="I200" s="19"/>
      <c r="J200" s="7"/>
    </row>
    <row r="201" ht="18" customHeight="1" spans="1:10" x14ac:dyDescent="0.25">
      <c r="A201" s="14">
        <v>195</v>
      </c>
      <c r="B201" s="7"/>
      <c r="C201" s="7"/>
      <c r="D201" s="15"/>
      <c r="E201" s="16"/>
      <c r="F201" s="17">
        <f>IF(E201="","",IF(E201&gt;=40,1,ROUND(E201/160,2)))</f>
      </c>
      <c r="G201" s="18"/>
      <c r="H201" s="18"/>
      <c r="I201" s="19"/>
      <c r="J201" s="7"/>
    </row>
    <row r="202" ht="18" customHeight="1" spans="1:10" x14ac:dyDescent="0.25">
      <c r="A202" s="20">
        <v>196</v>
      </c>
      <c r="B202" s="7"/>
      <c r="C202" s="7"/>
      <c r="D202" s="15"/>
      <c r="E202" s="16"/>
      <c r="F202" s="17">
        <f>IF(E202="","",IF(E202&gt;=40,1,ROUND(E202/160,2)))</f>
      </c>
      <c r="G202" s="18"/>
      <c r="H202" s="18"/>
      <c r="I202" s="19"/>
      <c r="J202" s="7"/>
    </row>
    <row r="203" ht="18" customHeight="1" spans="1:10" x14ac:dyDescent="0.25">
      <c r="A203" s="14">
        <v>197</v>
      </c>
      <c r="B203" s="7"/>
      <c r="C203" s="7"/>
      <c r="D203" s="15"/>
      <c r="E203" s="16"/>
      <c r="F203" s="17">
        <f>IF(E203="","",IF(E203&gt;=40,1,ROUND(E203/160,2)))</f>
      </c>
      <c r="G203" s="18"/>
      <c r="H203" s="18"/>
      <c r="I203" s="19"/>
      <c r="J203" s="7"/>
    </row>
    <row r="204" ht="18" customHeight="1" spans="1:10" x14ac:dyDescent="0.25">
      <c r="A204" s="20">
        <v>198</v>
      </c>
      <c r="B204" s="7"/>
      <c r="C204" s="7"/>
      <c r="D204" s="15"/>
      <c r="E204" s="16"/>
      <c r="F204" s="17">
        <f>IF(E204="","",IF(E204&gt;=40,1,ROUND(E204/160,2)))</f>
      </c>
      <c r="G204" s="18"/>
      <c r="H204" s="18"/>
      <c r="I204" s="19"/>
      <c r="J204" s="7"/>
    </row>
    <row r="205" ht="18" customHeight="1" spans="1:10" x14ac:dyDescent="0.25">
      <c r="A205" s="14">
        <v>199</v>
      </c>
      <c r="B205" s="7"/>
      <c r="C205" s="7"/>
      <c r="D205" s="15"/>
      <c r="E205" s="16"/>
      <c r="F205" s="17">
        <f>IF(E205="","",IF(E205&gt;=40,1,ROUND(E205/160,2)))</f>
      </c>
      <c r="G205" s="18"/>
      <c r="H205" s="18"/>
      <c r="I205" s="19"/>
      <c r="J205" s="7"/>
    </row>
    <row r="206" ht="18" customHeight="1" spans="1:10" x14ac:dyDescent="0.25">
      <c r="A206" s="20">
        <v>200</v>
      </c>
      <c r="B206" s="7"/>
      <c r="C206" s="7"/>
      <c r="D206" s="15"/>
      <c r="E206" s="16"/>
      <c r="F206" s="17">
        <f>IF(E206="","",IF(E206&gt;=40,1,ROUND(E206/160,2)))</f>
      </c>
      <c r="G206" s="18"/>
      <c r="H206" s="18"/>
      <c r="I206" s="19"/>
      <c r="J206" s="7"/>
    </row>
  </sheetData>
  <mergeCells count="1">
    <mergeCell ref="A1:J1"/>
  </mergeCells>
  <conditionalFormatting sqref="G3">
    <cfRule type="cellIs" dxfId="0" priority="1" operator="greaterThanOrEqual">
      <formula>0.35</formula>
    </cfRule>
    <cfRule type="cellIs" dxfId="1" priority="2" operator="between">
      <formula>0.30</formula>
      <formula>0.3499</formula>
    </cfRule>
    <cfRule type="cellIs" dxfId="2" priority="3" operator="lessThan">
      <formula>0.30</formula>
    </cfRule>
  </conditionalFormatting>
  <conditionalFormatting sqref="I3">
    <cfRule type="containsText" dxfId="3" priority="4">
      <formula>NOT(ISERROR(SEARCH("PASS",I3)))</formula>
    </cfRule>
    <cfRule type="containsText" dxfId="4" priority="5">
      <formula>NOT(ISERROR(SEARCH("CLOSE",I3)))</formula>
    </cfRule>
    <cfRule type="containsText" dxfId="5" priority="6">
      <formula>NOT(ISERROR(SEARCH("FAIL",I3)))</formula>
    </cfRule>
  </conditionalFormatting>
  <conditionalFormatting sqref="G7:G206">
    <cfRule type="containsText" dxfId="6" priority="7">
      <formula>NOT(ISERROR(SEARCH("Y",G7)))</formula>
    </cfRule>
    <cfRule type="containsText" dxfId="7" priority="8">
      <formula>NOT(ISERROR(SEARCH("N",G7)))</formula>
    </cfRule>
  </conditionalFormatting>
  <dataValidations count="4">
    <dataValidation type="list" allowBlank="1" showErrorMessage="1" sqref="G10:G206">
      <formula1>"Y,N,?"</formula1>
    </dataValidation>
    <dataValidation type="list" allowBlank="1" showErrorMessage="1" sqref="G7:G206">
      <formula1>"Y,N,?"</formula1>
    </dataValidation>
    <dataValidation type="list" allowBlank="1" showErrorMessage="1" sqref="H10:H206">
      <formula1>"Y,N"</formula1>
    </dataValidation>
    <dataValidation type="list" allowBlank="1" showErrorMessage="1" sqref="H7:H206">
      <formula1>"Y,N"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  <headerFooter>
    <oddHeader>&amp;L&amp;B CapturePilot &amp;R HUBZone Employee Tracker</oddHeader>
    <oddFooter>&amp;L Federal Lead Kit · 05-B &amp;C Page &amp;P of &amp;N &amp;R captorpilot.com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58" customWidth="1"/>
    <col min="4" max="5" width="10" customWidth="1"/>
    <col min="6" max="6" width="26" customWidth="1"/>
    <col min="7" max="7" width="3" customWidth="1"/>
  </cols>
  <sheetData>
    <row r="1" ht="56" customHeight="1" spans="1:6" x14ac:dyDescent="0.25">
      <c r="A1" s="1" t="s">
        <v>64</v>
      </c>
      <c r="B1" s="1"/>
      <c r="C1" s="1"/>
      <c r="D1" s="1"/>
      <c r="E1" s="1"/>
      <c r="F1" s="1"/>
    </row>
    <row r="3" ht="28" customHeight="1" spans="2:6" x14ac:dyDescent="0.25">
      <c r="B3" s="13" t="s">
        <v>54</v>
      </c>
      <c r="C3" s="5" t="s">
        <v>65</v>
      </c>
      <c r="D3" s="13" t="s">
        <v>66</v>
      </c>
      <c r="E3" s="13" t="s">
        <v>67</v>
      </c>
      <c r="F3" s="5" t="s">
        <v>68</v>
      </c>
    </row>
    <row r="4" ht="22" customHeight="1" spans="2:6" x14ac:dyDescent="0.25">
      <c r="B4" s="21" t="s">
        <v>69</v>
      </c>
      <c r="C4" s="21"/>
      <c r="D4" s="21"/>
      <c r="E4" s="21"/>
      <c r="F4" s="21"/>
    </row>
    <row r="5" ht="36" customHeight="1" spans="2:6" x14ac:dyDescent="0.25">
      <c r="B5" s="22">
        <v>1</v>
      </c>
      <c r="C5" s="7" t="s">
        <v>70</v>
      </c>
      <c r="D5" s="23">
        <f>IF(SizeStandard="","",SizeStandard)</f>
      </c>
      <c r="E5" s="24" t="s">
        <v>71</v>
      </c>
      <c r="F5" s="7"/>
    </row>
    <row r="6" ht="36" customHeight="1" spans="2:6" x14ac:dyDescent="0.25">
      <c r="B6" s="25">
        <v>2</v>
      </c>
      <c r="C6" s="26" t="s">
        <v>72</v>
      </c>
      <c r="D6" s="23"/>
      <c r="E6" s="24" t="s">
        <v>71</v>
      </c>
      <c r="F6" s="7"/>
    </row>
    <row r="7" ht="36" customHeight="1" spans="2:6" x14ac:dyDescent="0.25">
      <c r="B7" s="22">
        <v>3</v>
      </c>
      <c r="C7" s="7" t="s">
        <v>73</v>
      </c>
      <c r="D7" s="23"/>
      <c r="E7" s="24" t="s">
        <v>71</v>
      </c>
      <c r="F7" s="7"/>
    </row>
    <row r="8" ht="22" customHeight="1" spans="2:6" x14ac:dyDescent="0.25">
      <c r="B8" s="21" t="s">
        <v>74</v>
      </c>
      <c r="C8" s="21"/>
      <c r="D8" s="21"/>
      <c r="E8" s="21"/>
      <c r="F8" s="21"/>
    </row>
    <row r="9" ht="36" customHeight="1" spans="2:6" x14ac:dyDescent="0.25">
      <c r="B9" s="25">
        <v>4</v>
      </c>
      <c r="C9" s="26" t="s">
        <v>75</v>
      </c>
      <c r="D9" s="23"/>
      <c r="E9" s="24" t="s">
        <v>71</v>
      </c>
      <c r="F9" s="7"/>
    </row>
    <row r="10" ht="36" customHeight="1" spans="2:6" x14ac:dyDescent="0.25">
      <c r="B10" s="22">
        <v>5</v>
      </c>
      <c r="C10" s="7" t="s">
        <v>76</v>
      </c>
      <c r="D10" s="23">
        <f>IF(OfficeMapConfirmed="","",OfficeMapConfirmed)</f>
      </c>
      <c r="E10" s="24" t="s">
        <v>71</v>
      </c>
      <c r="F10" s="7"/>
    </row>
    <row r="11" ht="36" customHeight="1" spans="2:6" x14ac:dyDescent="0.25">
      <c r="B11" s="25">
        <v>6</v>
      </c>
      <c r="C11" s="26" t="s">
        <v>77</v>
      </c>
      <c r="D11" s="23">
        <f>IF(OfficeIsReal="","",OfficeIsReal)</f>
      </c>
      <c r="E11" s="24" t="s">
        <v>71</v>
      </c>
      <c r="F11" s="7"/>
    </row>
    <row r="12" ht="36" customHeight="1" spans="2:6" x14ac:dyDescent="0.25">
      <c r="B12" s="22">
        <v>7</v>
      </c>
      <c r="C12" s="7" t="s">
        <v>78</v>
      </c>
      <c r="D12" s="23"/>
      <c r="E12" s="24" t="s">
        <v>71</v>
      </c>
      <c r="F12" s="7"/>
    </row>
    <row r="13" ht="22" customHeight="1" spans="2:6" x14ac:dyDescent="0.25">
      <c r="B13" s="21" t="s">
        <v>79</v>
      </c>
      <c r="C13" s="21"/>
      <c r="D13" s="21"/>
      <c r="E13" s="21"/>
      <c r="F13" s="21"/>
    </row>
    <row r="14" ht="36" customHeight="1" spans="2:6" x14ac:dyDescent="0.25">
      <c r="B14" s="25">
        <v>8</v>
      </c>
      <c r="C14" s="26" t="s">
        <v>80</v>
      </c>
      <c r="D14" s="23"/>
      <c r="E14" s="24" t="s">
        <v>71</v>
      </c>
      <c r="F14" s="7"/>
    </row>
    <row r="15" ht="36" customHeight="1" spans="2:6" x14ac:dyDescent="0.25">
      <c r="B15" s="22">
        <v>9</v>
      </c>
      <c r="C15" s="7" t="s">
        <v>81</v>
      </c>
      <c r="D15" s="23"/>
      <c r="E15" s="24" t="s">
        <v>71</v>
      </c>
      <c r="F15" s="7"/>
    </row>
    <row r="16" ht="36" customHeight="1" spans="2:6" x14ac:dyDescent="0.25">
      <c r="B16" s="25">
        <v>10</v>
      </c>
      <c r="C16" s="26" t="s">
        <v>82</v>
      </c>
      <c r="D16" s="23"/>
      <c r="E16" s="27" t="s">
        <v>83</v>
      </c>
      <c r="F16" s="7"/>
    </row>
    <row r="17" ht="36" customHeight="1" spans="2:6" x14ac:dyDescent="0.25">
      <c r="B17" s="22">
        <v>11</v>
      </c>
      <c r="C17" s="7" t="s">
        <v>84</v>
      </c>
      <c r="D17" s="23"/>
      <c r="E17" s="24" t="s">
        <v>71</v>
      </c>
      <c r="F17" s="7"/>
    </row>
    <row r="18" ht="22" customHeight="1" spans="2:6" x14ac:dyDescent="0.25">
      <c r="B18" s="21" t="s">
        <v>85</v>
      </c>
      <c r="C18" s="21"/>
      <c r="D18" s="21"/>
      <c r="E18" s="21"/>
      <c r="F18" s="21"/>
    </row>
    <row r="19" ht="36" customHeight="1" spans="2:6" x14ac:dyDescent="0.25">
      <c r="B19" s="25">
        <v>12</v>
      </c>
      <c r="C19" s="26" t="s">
        <v>86</v>
      </c>
      <c r="D19" s="23"/>
      <c r="E19" s="24" t="s">
        <v>71</v>
      </c>
      <c r="F19" s="7"/>
    </row>
    <row r="20" ht="36" customHeight="1" spans="2:6" x14ac:dyDescent="0.25">
      <c r="B20" s="22">
        <v>13</v>
      </c>
      <c r="C20" s="7" t="s">
        <v>87</v>
      </c>
      <c r="D20" s="23"/>
      <c r="E20" s="27" t="s">
        <v>83</v>
      </c>
      <c r="F20" s="7"/>
    </row>
    <row r="21" ht="36" customHeight="1" spans="2:6" x14ac:dyDescent="0.25">
      <c r="B21" s="25">
        <v>14</v>
      </c>
      <c r="C21" s="26" t="s">
        <v>88</v>
      </c>
      <c r="D21" s="23"/>
      <c r="E21" s="27" t="s">
        <v>83</v>
      </c>
      <c r="F21" s="7"/>
    </row>
    <row r="22" ht="22" customHeight="1" spans="2:6" x14ac:dyDescent="0.25">
      <c r="B22" s="21" t="s">
        <v>89</v>
      </c>
      <c r="C22" s="21"/>
      <c r="D22" s="21"/>
      <c r="E22" s="21"/>
      <c r="F22" s="21"/>
    </row>
    <row r="23" ht="36" customHeight="1" spans="2:6" x14ac:dyDescent="0.25">
      <c r="B23" s="22">
        <v>15</v>
      </c>
      <c r="C23" s="7" t="s">
        <v>90</v>
      </c>
      <c r="D23" s="23">
        <f>IF(SamActive="","",SamActive)</f>
      </c>
      <c r="E23" s="24" t="s">
        <v>71</v>
      </c>
      <c r="F23" s="7"/>
    </row>
    <row r="24" ht="36" customHeight="1" spans="2:6" x14ac:dyDescent="0.25">
      <c r="B24" s="25">
        <v>16</v>
      </c>
      <c r="C24" s="26" t="s">
        <v>91</v>
      </c>
      <c r="D24" s="23"/>
      <c r="E24" s="27" t="s">
        <v>83</v>
      </c>
      <c r="F24" s="7"/>
    </row>
    <row r="25" ht="36" customHeight="1" spans="2:6" x14ac:dyDescent="0.25">
      <c r="B25" s="22">
        <v>17</v>
      </c>
      <c r="C25" s="7" t="s">
        <v>92</v>
      </c>
      <c r="D25" s="23"/>
      <c r="E25" s="24" t="s">
        <v>71</v>
      </c>
      <c r="F25" s="7"/>
    </row>
    <row r="26" ht="36" customHeight="1" spans="2:6" x14ac:dyDescent="0.25">
      <c r="B26" s="25">
        <v>18</v>
      </c>
      <c r="C26" s="26" t="s">
        <v>93</v>
      </c>
      <c r="D26" s="23"/>
      <c r="E26" s="24" t="s">
        <v>71</v>
      </c>
      <c r="F26" s="7"/>
    </row>
    <row r="27" ht="22" customHeight="1" spans="2:6" x14ac:dyDescent="0.25">
      <c r="B27" s="21" t="s">
        <v>94</v>
      </c>
      <c r="C27" s="21"/>
      <c r="D27" s="21"/>
      <c r="E27" s="21"/>
      <c r="F27" s="21"/>
    </row>
    <row r="28" ht="36" customHeight="1" spans="2:6" x14ac:dyDescent="0.25">
      <c r="B28" s="22">
        <v>19</v>
      </c>
      <c r="C28" s="7" t="s">
        <v>95</v>
      </c>
      <c r="D28" s="23"/>
      <c r="E28" s="27" t="s">
        <v>83</v>
      </c>
      <c r="F28" s="7"/>
    </row>
    <row r="29" ht="36" customHeight="1" spans="2:6" x14ac:dyDescent="0.25">
      <c r="B29" s="25">
        <v>20</v>
      </c>
      <c r="C29" s="26" t="s">
        <v>96</v>
      </c>
      <c r="D29" s="23"/>
      <c r="E29" s="27" t="s">
        <v>83</v>
      </c>
      <c r="F29" s="7"/>
    </row>
    <row r="30" ht="36" customHeight="1" spans="2:6" x14ac:dyDescent="0.25">
      <c r="B30" s="22">
        <v>21</v>
      </c>
      <c r="C30" s="7" t="s">
        <v>97</v>
      </c>
      <c r="D30" s="23"/>
      <c r="E30" s="27" t="s">
        <v>83</v>
      </c>
      <c r="F30" s="7"/>
    </row>
    <row r="32" spans="2:5" x14ac:dyDescent="0.25">
      <c r="B32" s="6" t="s">
        <v>98</v>
      </c>
      <c r="D32" s="28">
        <f>COUNTIF(D4:D30,"Y")</f>
      </c>
      <c r="E32" s="29" t="s">
        <v>99</v>
      </c>
    </row>
    <row r="33" spans="2:5" x14ac:dyDescent="0.25">
      <c r="B33" s="6" t="s">
        <v>100</v>
      </c>
      <c r="D33" s="30">
        <f>COUNTIF(D4:D30,"N")+COUNTIF(D4:D30,"?")</f>
      </c>
      <c r="E33" s="29" t="s">
        <v>99</v>
      </c>
    </row>
    <row r="34" spans="2:5" x14ac:dyDescent="0.25">
      <c r="B34" s="6" t="s">
        <v>101</v>
      </c>
      <c r="D34" s="30">
        <f>SUMPRODUCT((D4:D30&lt;&gt;"Y")*(D4:D30&lt;&gt;"")*(E4:E30="HIGH"))+SUMPRODUCT((D4:D30="")*(E4:E30="HIGH"))</f>
      </c>
      <c r="E34" s="29" t="s">
        <v>102</v>
      </c>
    </row>
  </sheetData>
  <mergeCells count="7">
    <mergeCell ref="A1:F1"/>
    <mergeCell ref="B4:F4"/>
    <mergeCell ref="B8:F8"/>
    <mergeCell ref="B13:F13"/>
    <mergeCell ref="B18:F18"/>
    <mergeCell ref="B22:F22"/>
    <mergeCell ref="B27:F27"/>
  </mergeCells>
  <conditionalFormatting sqref="D4:D30">
    <cfRule type="containsText" dxfId="8" priority="1">
      <formula>NOT(ISERROR(SEARCH("Y",D4)))</formula>
    </cfRule>
    <cfRule type="containsText" dxfId="9" priority="2">
      <formula>NOT(ISERROR(SEARCH("N",D4)))</formula>
    </cfRule>
    <cfRule type="containsText" dxfId="10" priority="3">
      <formula>NOT(ISERROR(SEARCH("?",D4)))</formula>
    </cfRule>
  </conditionalFormatting>
  <dataValidations count="7">
    <dataValidation type="list" allowBlank="1" showErrorMessage="1" errorTitle="Pick one" error="Y, N, or ? please." sqref="D10:D12">
      <formula1>"Y,N,?"</formula1>
    </dataValidation>
    <dataValidation type="list" allowBlank="1" showErrorMessage="1" errorTitle="Pick one" error="Y, N, or ? please." sqref="D14:D17">
      <formula1>"Y,N,?"</formula1>
    </dataValidation>
    <dataValidation type="list" allowBlank="1" showErrorMessage="1" errorTitle="Pick one" error="Y, N, or ? please." sqref="D19:D21">
      <formula1>"Y,N,?"</formula1>
    </dataValidation>
    <dataValidation type="list" allowBlank="1" showErrorMessage="1" errorTitle="Pick one" error="Y, N, or ? please." sqref="D23:D26">
      <formula1>"Y,N,?"</formula1>
    </dataValidation>
    <dataValidation type="list" allowBlank="1" showErrorMessage="1" errorTitle="Pick one" error="Y, N, or ? please." sqref="D28:D30">
      <formula1>"Y,N,?"</formula1>
    </dataValidation>
    <dataValidation type="list" allowBlank="1" showErrorMessage="1" errorTitle="Pick one" error="Y, N, or ? please." sqref="D5:D7">
      <formula1>"Y,N,?"</formula1>
    </dataValidation>
    <dataValidation type="list" allowBlank="1" showErrorMessage="1" errorTitle="Pick one" error="Y, N, or ? please." sqref="D9:D12">
      <formula1>"Y,N,?"</formula1>
    </dataValidation>
  </dataValidations>
  <pageMargins left="0.7" right="0.7" top="0.75" bottom="0.75" header="0.3" footer="0.3"/>
  <pageSetup orientation="portrait" horizontalDpi="4294967295" verticalDpi="4294967295" scale="100" fitToWidth="1" fitToHeight="0"/>
  <headerFooter>
    <oddHeader>&amp;L&amp;B CapturePilot &amp;R HUBZone Eligibility Checklist</oddHeader>
    <oddFooter>&amp;L Federal Lead Kit · 05-B &amp;C Page &amp;P of &amp;N &amp;R captorpilot.com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0" customWidth="1"/>
    <col min="3" max="5" width="20" customWidth="1"/>
    <col min="6" max="6" width="3" customWidth="1"/>
  </cols>
  <sheetData>
    <row r="1" ht="56" customHeight="1" spans="1:5" x14ac:dyDescent="0.25">
      <c r="A1" s="1" t="s">
        <v>103</v>
      </c>
      <c r="B1" s="1"/>
      <c r="C1" s="1"/>
      <c r="D1" s="1"/>
      <c r="E1" s="1"/>
    </row>
    <row r="3" ht="26" customHeight="1" spans="2:5" x14ac:dyDescent="0.25">
      <c r="B3" s="6" t="s">
        <v>104</v>
      </c>
      <c r="C3" s="31">
        <f>IF(BizName="","(enter on Inputs tab)",BizName)</f>
      </c>
      <c r="D3" s="31"/>
      <c r="E3" s="31"/>
    </row>
    <row r="4" spans="2:5" x14ac:dyDescent="0.25">
      <c r="B4" s="6" t="s">
        <v>31</v>
      </c>
      <c r="C4" s="32">
        <f>IF(EvalDate="","(enter on Inputs tab)",TEXT(EvalDate,"yyyy-mm-dd"))</f>
      </c>
      <c r="D4" s="32"/>
      <c r="E4" s="32"/>
    </row>
    <row r="5" spans="2:5" x14ac:dyDescent="0.25">
      <c r="B5" s="6" t="s">
        <v>105</v>
      </c>
      <c r="C5" s="32">
        <f>IF(OfficeStreet="","(enter on Inputs tab)",OfficeStreet&amp;", "&amp;OfficeCity&amp;", "&amp;OfficeState&amp;" "&amp;OfficeZip)</f>
      </c>
      <c r="D5" s="32"/>
      <c r="E5" s="32"/>
    </row>
    <row r="7" ht="32" customHeight="1" spans="3:5" x14ac:dyDescent="0.25">
      <c r="C7" s="33" t="s">
        <v>106</v>
      </c>
      <c r="D7" s="33" t="s">
        <v>107</v>
      </c>
      <c r="E7" s="33" t="s">
        <v>108</v>
      </c>
    </row>
    <row r="8" ht="50" customHeight="1" spans="3:5" x14ac:dyDescent="0.25">
      <c r="C8" s="34">
        <f>IFERROR(HubResidencyPct,0)</f>
      </c>
      <c r="D8" s="35">
        <f>IFERROR(HubFTECount,0)</f>
      </c>
      <c r="E8" s="35">
        <f>IFERROR(HubResidentFTE,0)</f>
      </c>
    </row>
    <row r="9" ht="22" customHeight="1" spans="3:5" x14ac:dyDescent="0.25">
      <c r="C9" s="20" t="s">
        <v>109</v>
      </c>
      <c r="D9" s="20" t="s">
        <v>110</v>
      </c>
      <c r="E9" s="20" t="s">
        <v>111</v>
      </c>
    </row>
    <row r="11" spans="2:4" x14ac:dyDescent="0.25">
      <c r="B11" s="6" t="s">
        <v>112</v>
      </c>
      <c r="C11" s="36">
        <f>ChecklistMet</f>
      </c>
      <c r="D11" s="37" t="s">
        <v>113</v>
      </c>
    </row>
    <row r="12" spans="2:4" x14ac:dyDescent="0.25">
      <c r="B12" s="6" t="s">
        <v>114</v>
      </c>
      <c r="C12" s="38">
        <f>21-ChecklistMet</f>
      </c>
      <c r="D12" s="37" t="s">
        <v>115</v>
      </c>
    </row>
    <row r="13" spans="2:4" x14ac:dyDescent="0.25">
      <c r="B13" s="6" t="s">
        <v>116</v>
      </c>
      <c r="C13" s="38">
        <f>HighRiskOpen</f>
      </c>
      <c r="D13" s="37" t="s">
        <v>117</v>
      </c>
    </row>
    <row r="15" ht="24" customHeight="1" spans="2:5" x14ac:dyDescent="0.25">
      <c r="B15" s="13" t="s">
        <v>118</v>
      </c>
      <c r="C15" s="13"/>
      <c r="D15" s="13"/>
      <c r="E15" s="13"/>
    </row>
    <row r="16" ht="54" customHeight="1" spans="2:5" x14ac:dyDescent="0.25">
      <c r="B16" s="39">
        <f>IF(HighRiskOpen&gt;0,"HARD STOP — High-risk items still open. Resolve these on the Eligibility Checklist before you apply.",IF(IFERROR(HubResidencyPct,0)&lt;0.35,"NOT READY — 35% employee residency test failing. See Employee Tracker.",IF(ChecklistOpen&gt;0,"GAPS FOUND — Close the remaining items, then re-run.","LIKELY ELIGIBLE — Confirm principal office at maps.certify.sba.gov and apply at certify.sba.gov.")))</f>
      </c>
      <c r="C16" s="39"/>
      <c r="D16" s="39"/>
      <c r="E16" s="39"/>
    </row>
    <row r="18" ht="22" customHeight="1" spans="2:5" x14ac:dyDescent="0.25">
      <c r="B18" s="5" t="s">
        <v>119</v>
      </c>
      <c r="C18" s="5"/>
      <c r="D18" s="5"/>
      <c r="E18" s="5"/>
    </row>
    <row r="19" ht="32" customHeight="1" spans="2:5" x14ac:dyDescent="0.25">
      <c r="B19" s="40" t="s">
        <v>120</v>
      </c>
      <c r="C19" s="40"/>
      <c r="D19" s="40"/>
      <c r="E19" s="40"/>
    </row>
    <row r="20" ht="32" customHeight="1" spans="2:5" x14ac:dyDescent="0.25">
      <c r="B20" s="41" t="s">
        <v>121</v>
      </c>
      <c r="C20" s="41"/>
      <c r="D20" s="41"/>
      <c r="E20" s="41"/>
    </row>
    <row r="21" ht="32" customHeight="1" spans="2:5" x14ac:dyDescent="0.25">
      <c r="B21" s="40" t="s">
        <v>122</v>
      </c>
      <c r="C21" s="40"/>
      <c r="D21" s="40"/>
      <c r="E21" s="40"/>
    </row>
    <row r="22" ht="32" customHeight="1" spans="2:5" x14ac:dyDescent="0.25">
      <c r="B22" s="41" t="s">
        <v>123</v>
      </c>
      <c r="C22" s="41"/>
      <c r="D22" s="41"/>
      <c r="E22" s="41"/>
    </row>
    <row r="23" ht="32" customHeight="1" spans="2:5" x14ac:dyDescent="0.25">
      <c r="B23" s="40" t="s">
        <v>124</v>
      </c>
      <c r="C23" s="40"/>
      <c r="D23" s="40"/>
      <c r="E23" s="40"/>
    </row>
  </sheetData>
  <mergeCells count="12">
    <mergeCell ref="A1:E1"/>
    <mergeCell ref="C3:E3"/>
    <mergeCell ref="C4:E4"/>
    <mergeCell ref="C5:E5"/>
    <mergeCell ref="B15:E15"/>
    <mergeCell ref="B16:E16"/>
    <mergeCell ref="B18:E18"/>
    <mergeCell ref="B19:E19"/>
    <mergeCell ref="B20:E20"/>
    <mergeCell ref="B21:E21"/>
    <mergeCell ref="B22:E22"/>
    <mergeCell ref="B23:E23"/>
  </mergeCells>
  <conditionalFormatting sqref="C8">
    <cfRule type="cellIs" dxfId="11" priority="1" operator="greaterThanOrEqual">
      <formula>0.35</formula>
    </cfRule>
    <cfRule type="cellIs" dxfId="12" priority="2" operator="between">
      <formula>0.30</formula>
      <formula>0.3499</formula>
    </cfRule>
    <cfRule type="cellIs" dxfId="13" priority="3" operator="lessThan">
      <formula>0.30</formula>
    </cfRule>
  </conditionalFormatting>
  <conditionalFormatting sqref="B16">
    <cfRule type="containsText" dxfId="14" priority="4">
      <formula>NOT(ISERROR(SEARCH("LIKELY ELIGIBLE",B16)))</formula>
    </cfRule>
    <cfRule type="containsText" dxfId="15" priority="5">
      <formula>NOT(ISERROR(SEARCH("GAPS FOUND",B16)))</formula>
    </cfRule>
    <cfRule type="containsText" dxfId="16" priority="6">
      <formula>NOT(ISERROR(SEARCH("NOT READY",B16)))</formula>
    </cfRule>
    <cfRule type="containsText" dxfId="17" priority="7">
      <formula>NOT(ISERROR(SEARCH("HARD STOP",B16)))</formula>
    </cfRule>
  </conditionalFormatting>
  <pageMargins left="0.7" right="0.7" top="0.75" bottom="0.75" header="0.3" footer="0.3"/>
  <pageSetup orientation="portrait" horizontalDpi="4294967295" verticalDpi="4294967295" scale="100" fitToWidth="1" fitToHeight="0"/>
  <headerFooter>
    <oddHeader>&amp;L&amp;B CapturePilot &amp;R HUBZone Eligibility Summary</oddHeader>
    <oddFooter>&amp;L Federal Lead Kit · 05-B &amp;C Page &amp;P of &amp;N &amp;R captorpilot.com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80" customWidth="1"/>
    <col min="3" max="3" width="3" customWidth="1"/>
  </cols>
  <sheetData>
    <row r="1" ht="56" customHeight="1" spans="1:3" x14ac:dyDescent="0.25">
      <c r="A1" s="1" t="s">
        <v>125</v>
      </c>
      <c r="B1" s="1"/>
      <c r="C1" s="1"/>
    </row>
    <row r="3" ht="22" customHeight="1" spans="2:2" x14ac:dyDescent="0.25">
      <c r="B3" s="42" t="s">
        <v>126</v>
      </c>
    </row>
    <row r="4" ht="20" customHeight="1" spans="2:2" x14ac:dyDescent="0.25">
      <c r="B4" s="3" t="s">
        <v>127</v>
      </c>
    </row>
    <row r="5" ht="28" customHeight="1" spans="2:2" x14ac:dyDescent="0.25">
      <c r="B5" s="3" t="s">
        <v>128</v>
      </c>
    </row>
    <row r="6" ht="20" customHeight="1" spans="2:2" x14ac:dyDescent="0.25">
      <c r="B6" s="3" t="s">
        <v>129</v>
      </c>
    </row>
    <row r="7" ht="28" customHeight="1" spans="2:2" x14ac:dyDescent="0.25">
      <c r="B7" s="3" t="s">
        <v>130</v>
      </c>
    </row>
    <row r="8" ht="20" customHeight="1" spans="2:2" x14ac:dyDescent="0.25">
      <c r="B8" s="3" t="s">
        <v>131</v>
      </c>
    </row>
    <row r="10" ht="22" customHeight="1" spans="2:2" x14ac:dyDescent="0.25">
      <c r="B10" s="42" t="s">
        <v>132</v>
      </c>
    </row>
    <row r="11" ht="20" customHeight="1" spans="2:2" x14ac:dyDescent="0.25">
      <c r="B11" s="3" t="s">
        <v>133</v>
      </c>
    </row>
    <row r="12" ht="28" customHeight="1" spans="2:2" x14ac:dyDescent="0.25">
      <c r="B12" s="3" t="s">
        <v>134</v>
      </c>
    </row>
    <row r="13" ht="28" customHeight="1" spans="2:2" x14ac:dyDescent="0.25">
      <c r="B13" s="3" t="s">
        <v>135</v>
      </c>
    </row>
    <row r="14" ht="42" customHeight="1" spans="2:2" x14ac:dyDescent="0.25">
      <c r="B14" s="3" t="s">
        <v>136</v>
      </c>
    </row>
    <row r="15" ht="20" customHeight="1" spans="2:2" x14ac:dyDescent="0.25">
      <c r="B15" s="3" t="s">
        <v>137</v>
      </c>
    </row>
    <row r="16" ht="20" customHeight="1" spans="2:2" x14ac:dyDescent="0.25">
      <c r="B16" s="3" t="s">
        <v>138</v>
      </c>
    </row>
    <row r="18" ht="22" customHeight="1" spans="2:2" x14ac:dyDescent="0.25">
      <c r="B18" s="42" t="s">
        <v>139</v>
      </c>
    </row>
    <row r="19" ht="20" customHeight="1" spans="2:2" x14ac:dyDescent="0.25">
      <c r="B19" s="3" t="s">
        <v>140</v>
      </c>
    </row>
    <row r="20" ht="28" customHeight="1" spans="2:2" x14ac:dyDescent="0.25">
      <c r="B20" s="3" t="s">
        <v>141</v>
      </c>
    </row>
    <row r="21" ht="28" customHeight="1" spans="2:2" x14ac:dyDescent="0.25">
      <c r="B21" s="3" t="s">
        <v>142</v>
      </c>
    </row>
    <row r="22" ht="28" customHeight="1" spans="2:2" x14ac:dyDescent="0.25">
      <c r="B22" s="3" t="s">
        <v>143</v>
      </c>
    </row>
    <row r="24" ht="22" customHeight="1" spans="2:2" x14ac:dyDescent="0.25">
      <c r="B24" s="42" t="s">
        <v>144</v>
      </c>
    </row>
    <row r="25" ht="28" customHeight="1" spans="2:2" x14ac:dyDescent="0.25">
      <c r="B25" s="3" t="s">
        <v>145</v>
      </c>
    </row>
    <row r="26" ht="28" customHeight="1" spans="2:2" x14ac:dyDescent="0.25">
      <c r="B26" s="3" t="s">
        <v>146</v>
      </c>
    </row>
    <row r="27" ht="20" customHeight="1" spans="2:2" x14ac:dyDescent="0.25">
      <c r="B27" s="3" t="s">
        <v>147</v>
      </c>
    </row>
    <row r="28" ht="28" customHeight="1" spans="2:2" x14ac:dyDescent="0.25">
      <c r="B28" s="3" t="s">
        <v>148</v>
      </c>
    </row>
    <row r="29" ht="28" customHeight="1" spans="2:2" x14ac:dyDescent="0.25">
      <c r="B29" s="3" t="s">
        <v>149</v>
      </c>
    </row>
    <row r="31" ht="22" customHeight="1" spans="2:2" x14ac:dyDescent="0.25">
      <c r="B31" s="42" t="s">
        <v>150</v>
      </c>
    </row>
    <row r="32" ht="28" customHeight="1" spans="2:2" x14ac:dyDescent="0.25">
      <c r="B32" s="3" t="s">
        <v>151</v>
      </c>
    </row>
    <row r="33" ht="20" customHeight="1" spans="2:2" x14ac:dyDescent="0.25">
      <c r="B33" s="3" t="s">
        <v>152</v>
      </c>
    </row>
    <row r="34" ht="28" customHeight="1" spans="2:2" x14ac:dyDescent="0.25">
      <c r="B34" s="3" t="s">
        <v>153</v>
      </c>
    </row>
    <row r="35" ht="28" customHeight="1" spans="2:2" x14ac:dyDescent="0.25">
      <c r="B35" s="3" t="s">
        <v>154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0"/>
  <headerFooter>
    <oddHeader>&amp;L&amp;B CapturePilot &amp;R HUBZone — Worked Examples</oddHeader>
    <oddFooter>&amp;L Federal Lead Kit · 05-B &amp;C Page &amp;P of &amp;N &amp;R captorpilot.com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Inputs</vt:lpstr>
      <vt:lpstr>Employee Tracker</vt:lpstr>
      <vt:lpstr>Eligibility Checklist</vt:lpstr>
      <vt:lpstr>Summary</vt:lpstr>
      <vt:lpstr>Help &amp; 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 Federal Lead Kit</dc:creator>
  <dc:title/>
  <dc:subject/>
  <dc:description/>
  <cp:keywords/>
  <cp:category/>
  <cp:lastModifiedBy>CapturePilot</cp:lastModifiedBy>
  <dcterms:created xsi:type="dcterms:W3CDTF">2026-06-05T21:27:22Z</dcterms:created>
  <dcterms:modified xsi:type="dcterms:W3CDTF">2026-06-05T21:27:22Z</dcterms:modified>
</cp:coreProperties>
</file>