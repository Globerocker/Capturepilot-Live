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Labor Benchmarks" state="visible" r:id="rId5"/>
    <sheet sheetId="3" name="Cost Buildup" state="visible" r:id="rId6"/>
    <sheet sheetId="4" name="Competitor Analysis" state="visible" r:id="rId7"/>
    <sheet sheetId="5" name="Price-to-Win" state="visible" r:id="rId8"/>
  </sheets>
  <definedNames>
    <definedName name="BenchTable">'Labor Benchmarks'!$A$5:$G$34</definedName>
    <definedName name="BenchCategories">'Labor Benchmarks'!$A$5:$A$34</definedName>
    <definedName name="FringeRate">'Cost Buildup'!$B$5</definedName>
    <definedName name="OHRate">'Cost Buildup'!$B$6</definedName>
    <definedName name="GARate">'Cost Buildup'!$B$7</definedName>
    <definedName name="FeeRate">'Cost Buildup'!$B$8</definedName>
    <definedName name="WrapRate">'Cost Buildup'!$B$9</definedName>
    <definedName name="WrapWithFee">'Cost Buildup'!$B$10</definedName>
    <definedName name="PoPYears">'Cost Buildup'!$B$11</definedName>
    <definedName name="TotalLaborCost">'Cost Buildup'!$K$27</definedName>
    <definedName name="TotalLaborRevenue">'Cost Buildup'!$M$27</definedName>
    <definedName name="TotalODCCost">'Cost Buildup'!$G$36</definedName>
    <definedName name="TotalODCRevenue">'Cost Buildup'!$H$36</definedName>
    <definedName name="YourProposedPrice">'Cost Buildup'!$E$43</definedName>
    <definedName name="YourTotalCost">'Cost Buildup'!$E$41</definedName>
    <definedName name="CompMin">'Competitor Analysis'!$H$12</definedName>
    <definedName name="CompMax">'Competitor Analysis'!$H$13</definedName>
    <definedName name="CompMedian">'Competitor Analysis'!$H$14</definedName>
    <definedName name="CompAvg">'Competitor Analysis'!$H$15</definedName>
    <definedName name="EvalType">'Price-to-Win'!$C$5</definedName>
    <definedName name="YourTechScore">'Price-to-Win'!$C$6</definedName>
    <definedName name="CompTechScore">'Price-to-Win'!$C$7</definedName>
    <definedName name="TargetPWin">'Price-to-Win'!$C$8</definedName>
    <definedName name="MinFee">'Price-to-Win'!$C$9</definedName>
    <definedName name="ConsDiscount">'Price-to-Win'!$C$10</definedName>
    <definedName name="AggrPremium">'Price-to-Win'!$C$11</definedName>
  </definedNames>
  <calcPr calcId="171027"/>
</workbook>
</file>

<file path=xl/sharedStrings.xml><?xml version="1.0" encoding="utf-8"?>
<sst xmlns="http://schemas.openxmlformats.org/spreadsheetml/2006/main" count="387" uniqueCount="225">
  <si>
    <t>FEDERAL LEAD KIT — Price-to-Win Worksheet</t>
  </si>
  <si>
    <t>Estimate your real cost position, sanity-check it against the market, and find the price that wins without giving away margin. Built for federal proposals where you're competing against three to seven other small firms.</t>
  </si>
  <si>
    <t>HOW TO USE THIS WORKBOOK</t>
  </si>
  <si>
    <t>Step 1 — Cost Buildup</t>
  </si>
  <si>
    <t>Open the Cost Buildup tab. Enter your indirect rates (fringe, OH, G&amp;A, fee) at the top — these drive every wrap calculation below. Then list each labor category you plan to bid: title, clearance, headcount, annual hours, and base hourly rate.</t>
  </si>
  <si>
    <t>Step 2 — Labor Benchmarks</t>
  </si>
  <si>
    <t>Sanity-check your bill rates against FY2026 market data by clearance level. If your fully-loaded rate is more than 20% above the benchmark band, you will lose on price. More than 20% below and you risk a price realism finding.</t>
  </si>
  <si>
    <t>Step 3 — Competitor Analysis</t>
  </si>
  <si>
    <t>List the three to five firms you expect to compete against. Use SAM.gov, USASpending, GSA Advantage, and CALC to estimate their wrap rates and bill rates. You won't get this perfect — get it close.</t>
  </si>
  <si>
    <t>Step 4 — Price-to-Win</t>
  </si>
  <si>
    <t>The model produces three scenarios (Conservative, Base, Aggressive) for your total price. Compare against the competitor range. Pick the scenario that gives you a real shot at winning while protecting at least 6% profit.</t>
  </si>
  <si>
    <t>Step 5 — Summary</t>
  </si>
  <si>
    <t>Single-page view: your price, the competitor range, your PTW recommendation, and the risk flags. Send this to your capture lead or pricing reviewer before submitting.</t>
  </si>
  <si>
    <t>CELL COLOR LEGEND</t>
  </si>
  <si>
    <t>Input</t>
  </si>
  <si>
    <t>Blue cells. You type your numbers here. Everything else is a formula — don't overwrite it.</t>
  </si>
  <si>
    <t>Calculated</t>
  </si>
  <si>
    <t>Grey cells. Formulas. Read-only by convention; will recompute when you change inputs.</t>
  </si>
  <si>
    <t>Benchmark</t>
  </si>
  <si>
    <t>Green cells. FY2026 reference data from CALC, GSA Advantage, and BLS OEWS. Adjust the year column if you have newer data.</t>
  </si>
  <si>
    <t>Assumption</t>
  </si>
  <si>
    <t>Amber cells. Soft inputs that drive big outputs — fee target, win probability, escalation. Write down your source.</t>
  </si>
  <si>
    <t>Risk flag</t>
  </si>
  <si>
    <t>Red highlighting on outputs. Means a value crossed a threshold (e.g. fee below 5%, wrap above 2.5, or you're outside the competitor band). Investigate before submitting.</t>
  </si>
  <si>
    <t>GLOSSARY</t>
  </si>
  <si>
    <t>Direct Labor (DL)</t>
  </si>
  <si>
    <t>The salary you pay employees who actually perform work on the contract. The base of every cost buildup.</t>
  </si>
  <si>
    <t>Fringe</t>
  </si>
  <si>
    <t>Benefits, payroll taxes, PTO, health insurance — applied as a percentage of DL. Most small GovCon firms run 25-35%. If you don't know yours, use 30%.</t>
  </si>
  <si>
    <t>Overhead (OH)</t>
  </si>
  <si>
    <t>Indirect costs tied to contract performance: facilities, supervision, indirect labor. Typically 10-25% for small services firms; 30-50% for product/engineering.</t>
  </si>
  <si>
    <t>G&amp;A</t>
  </si>
  <si>
    <t>General and Administrative — BD, accounting, executive salaries, recruiting. Typically 10-20%. DCAA-audited firms know this number exactly.</t>
  </si>
  <si>
    <t>Fee / Profit</t>
  </si>
  <si>
    <t>Your margin on top of cost. CPFF caps at 10% statutory (15% for R&amp;D). On FFP, you can charge more — but the customer compares total price, so high fee = high price.</t>
  </si>
  <si>
    <t>Wrap Rate</t>
  </si>
  <si>
    <t>Multiplier from base DL to fully-loaded cost (before fee). Roughly: (1 + Fringe%) × (1 + OH%) × (1 + G&amp;A%). A 1.80-2.20 wrap is normal. Above 2.50 you have a cost problem.</t>
  </si>
  <si>
    <t>Bill Rate</t>
  </si>
  <si>
    <t>Fully-loaded rate per labor hour including all indirect costs and fee. Wrap Rate × Base Hourly × (1 + Fee%).</t>
  </si>
  <si>
    <t>Price-to-Win (PTW)</t>
  </si>
  <si>
    <t>The price that wins the contract while preserving acceptable margin. Not the lowest price — the best-value price the customer expects to pay.</t>
  </si>
  <si>
    <t>LPTA</t>
  </si>
  <si>
    <t>Lowest Price Technically Acceptable. The lowest compliant offer wins. PTW = the cost floor. Skip this RFP if your wrap is high.</t>
  </si>
  <si>
    <t>Best Value</t>
  </si>
  <si>
    <t>Tradeoff between technical and price. You can win at a higher price if your past performance and approach justify it. Most federal services work uses this.</t>
  </si>
  <si>
    <t>SOURCES TO USE FOR COMPETITOR PRICING</t>
  </si>
  <si>
    <t>CALC</t>
  </si>
  <si>
    <t>https://calc.gsa.gov — contract-awarded labor rates by category and clearance, filtered by ceiling year.</t>
  </si>
  <si>
    <t>GSA Advantage</t>
  </si>
  <si>
    <t>https://gsaadvantage.gov — current GSA Schedule pricing for products and services.</t>
  </si>
  <si>
    <t>USASpending</t>
  </si>
  <si>
    <t>https://usaspending.gov — historic award amounts to your competitors; divide by period of performance to back into a wrap.</t>
  </si>
  <si>
    <t>SAM.gov contract data</t>
  </si>
  <si>
    <t>https://sam.gov — past contract awards by NAICS, by agency, by competitor name.</t>
  </si>
  <si>
    <t>BLS OEWS</t>
  </si>
  <si>
    <t>https://www.bls.gov/oes/ — civilian wage data by occupation and metro. Cleared work runs 20-40% above OEWS.</t>
  </si>
  <si>
    <t>LABOR BENCHMARKS — FY2026</t>
  </si>
  <si>
    <t>Fully-loaded hourly bill rates by labor category and clearance level. Sourced from CALC contract awards, GSA Advantage, and BLS OEWS adjusted for cleared premium. Use the Median column as your target; if your computed bill rate is more than 20% outside the Low-High band, you have a pricing problem.</t>
  </si>
  <si>
    <t>Labor Category</t>
  </si>
  <si>
    <t>Clearance</t>
  </si>
  <si>
    <t>Low ($/hr)</t>
  </si>
  <si>
    <t>Median ($/hr)</t>
  </si>
  <si>
    <t>High ($/hr)</t>
  </si>
  <si>
    <t>Source Year</t>
  </si>
  <si>
    <t>Source</t>
  </si>
  <si>
    <t>Program Manager</t>
  </si>
  <si>
    <t>Public Trust</t>
  </si>
  <si>
    <t>FY2026</t>
  </si>
  <si>
    <t>CALC + adj</t>
  </si>
  <si>
    <t>Secret</t>
  </si>
  <si>
    <t>TS/SCI</t>
  </si>
  <si>
    <t>Project Manager</t>
  </si>
  <si>
    <t>Senior Systems Engineer</t>
  </si>
  <si>
    <t>Systems Engineer</t>
  </si>
  <si>
    <t>Software Developer (Sr.)</t>
  </si>
  <si>
    <t>CALC + BLS</t>
  </si>
  <si>
    <t>Software Developer (Mid)</t>
  </si>
  <si>
    <t>Cybersecurity Analyst</t>
  </si>
  <si>
    <t>Cloud Architect</t>
  </si>
  <si>
    <t>BLS + adj</t>
  </si>
  <si>
    <t>Data Scientist</t>
  </si>
  <si>
    <t>DevOps Engineer</t>
  </si>
  <si>
    <t>Technical Writer</t>
  </si>
  <si>
    <t>Help Desk Tier 1</t>
  </si>
  <si>
    <t>Help Desk Tier 2</t>
  </si>
  <si>
    <t>Help Desk Tier 3</t>
  </si>
  <si>
    <t>Administrative Support</t>
  </si>
  <si>
    <t>BLS</t>
  </si>
  <si>
    <t>Subject Matter Expert</t>
  </si>
  <si>
    <t>COST BUILDUP — Direct Labor and Indirect Rates</t>
  </si>
  <si>
    <t>Enter your indirect rates at the top, then add labor categories below. Wrap rate, fully-loaded cost, bill rate, and bench variance all calculate automatically. The whole worksheet keys off the period set in B11 — change it once.</t>
  </si>
  <si>
    <t>INDIRECT RATE ASSUMPTIONS  (enter your real or provisional rates)</t>
  </si>
  <si>
    <t>Fringe Rate</t>
  </si>
  <si>
    <t>Incurred cost submission or DCAA forward pricing</t>
  </si>
  <si>
    <t>Overhead Rate</t>
  </si>
  <si>
    <t>Indirect rate agreement or forward pricing proposal</t>
  </si>
  <si>
    <t>G&amp;A Rate</t>
  </si>
  <si>
    <t>Indirect rate agreement</t>
  </si>
  <si>
    <t>Fee / Profit Target</t>
  </si>
  <si>
    <t>FFP: competitive; CPFF: capped at 10%</t>
  </si>
  <si>
    <t>Effective Wrap Rate (excl. fee)</t>
  </si>
  <si>
    <t>Multiplier on base DL wage. Healthy range 1.70-2.20.</t>
  </si>
  <si>
    <t>Wrap Rate w/ Fee</t>
  </si>
  <si>
    <t>Total bill-rate multiplier on DL. This is the number your CO will benchmark.</t>
  </si>
  <si>
    <t>Period of Performance (years)</t>
  </si>
  <si>
    <t>DIRECT LABOR — BY LABOR CATEGORY</t>
  </si>
  <si>
    <t>Headcount</t>
  </si>
  <si>
    <t>Hrs/FTE/yr</t>
  </si>
  <si>
    <t>Total Hrs</t>
  </si>
  <si>
    <t>Base $/hr</t>
  </si>
  <si>
    <t>+ Fringe</t>
  </si>
  <si>
    <t>+ OH</t>
  </si>
  <si>
    <t>+ G&amp;A</t>
  </si>
  <si>
    <t>Fully-Loaded $/hr</t>
  </si>
  <si>
    <t>Loaded Cost (PoP)</t>
  </si>
  <si>
    <t>Bill Rate ($/hr)</t>
  </si>
  <si>
    <t>Revenue (PoP)</t>
  </si>
  <si>
    <t>Bench Median</t>
  </si>
  <si>
    <t>Variance %</t>
  </si>
  <si>
    <t/>
  </si>
  <si>
    <t>TOTAL</t>
  </si>
  <si>
    <t>OTHER DIRECT COSTS (ODCs) — Materials, Travel, Subcontractors</t>
  </si>
  <si>
    <t>Description</t>
  </si>
  <si>
    <t>Category</t>
  </si>
  <si>
    <t>Quantity</t>
  </si>
  <si>
    <t>Unit Cost ($)</t>
  </si>
  <si>
    <t>Subtotal</t>
  </si>
  <si>
    <t>G&amp;A Applied?</t>
  </si>
  <si>
    <t>Total Cost</t>
  </si>
  <si>
    <t>Total Price (w/ fee)</t>
  </si>
  <si>
    <t>Travel — CONUS trips</t>
  </si>
  <si>
    <t>Travel</t>
  </si>
  <si>
    <t>Yes</t>
  </si>
  <si>
    <t>Materials / hardware</t>
  </si>
  <si>
    <t>Materials</t>
  </si>
  <si>
    <t>Subcontractor — Smith LLC</t>
  </si>
  <si>
    <t>Sub</t>
  </si>
  <si>
    <t>No</t>
  </si>
  <si>
    <t>ODC TOTAL</t>
  </si>
  <si>
    <t>YOUR PROPOSED COST + PRICE  (Period of Performance total)</t>
  </si>
  <si>
    <t>Total Direct Labor Cost (loaded, no fee)</t>
  </si>
  <si>
    <t>Total ODC Cost</t>
  </si>
  <si>
    <t>Total Fee</t>
  </si>
  <si>
    <t>Your Proposed Price</t>
  </si>
  <si>
    <t>Effective Profit Margin</t>
  </si>
  <si>
    <t>COMPETITOR ANALYSIS — Estimated Cost and Price Position</t>
  </si>
  <si>
    <t>List three to five firms you expect to compete against. Pull wrap and bill rates from CALC, GSA Advantage, and USASpending awards. Total Hours should roughly match what's in your Cost Buildup (B11 PoP × your headcount estimate of their team). The model summarizes the range on the Price-to-Win tab.</t>
  </si>
  <si>
    <t>Competitor</t>
  </si>
  <si>
    <t>Size</t>
  </si>
  <si>
    <t>Set-Aside</t>
  </si>
  <si>
    <t>Est. Wrap Rate</t>
  </si>
  <si>
    <t>Est. Fee %</t>
  </si>
  <si>
    <t>Est. Bill $/hr</t>
  </si>
  <si>
    <t>Est. Total Hours</t>
  </si>
  <si>
    <t>Est. Total Price</t>
  </si>
  <si>
    <t>Recent Wins (24mo)</t>
  </si>
  <si>
    <t>Threat Score (1-5)</t>
  </si>
  <si>
    <t>Notes / Source</t>
  </si>
  <si>
    <t>Lockheed Martin</t>
  </si>
  <si>
    <t>Large</t>
  </si>
  <si>
    <t>Full &amp; Open</t>
  </si>
  <si>
    <t>Incumbent on prior contract. Pulled from USASpending FY24 award.</t>
  </si>
  <si>
    <t>Booz Allen Hamilton</t>
  </si>
  <si>
    <t>CALC FY26 median for similar mix.</t>
  </si>
  <si>
    <t>Mid-tier 8(a) firm</t>
  </si>
  <si>
    <t>Small</t>
  </si>
  <si>
    <t>8(a)</t>
  </si>
  <si>
    <t>Lower wrap due to smaller G&amp;A. Typical aggressive bid.</t>
  </si>
  <si>
    <t>Local SDVOSB</t>
  </si>
  <si>
    <t>SDVOSB</t>
  </si>
  <si>
    <t>Won 2 of last 4 SDVOSB set-asides at this agency.</t>
  </si>
  <si>
    <t>COMPETITOR PRICE STATISTICS</t>
  </si>
  <si>
    <t>Lowest Bid (Conservative win threshold)</t>
  </si>
  <si>
    <t>Highest Bid (Aggressive ceiling)</t>
  </si>
  <si>
    <t>Median Bid (Likely award zone)</t>
  </si>
  <si>
    <t>Average Bid</t>
  </si>
  <si>
    <t>Average Wrap Rate</t>
  </si>
  <si>
    <t>Count of Competitors</t>
  </si>
  <si>
    <t>PRICE-TO-WIN — Recommendation</t>
  </si>
  <si>
    <t>Three scenarios. Conservative cuts price to undercut the lowest competitor. Base matches median. Aggressive holds full margin and bets on technical score. Pick a target, write down why, and put the chosen price on your proposal cover sheet.</t>
  </si>
  <si>
    <t>EVALUATION + PRICING INPUTS</t>
  </si>
  <si>
    <t>Evaluation Type</t>
  </si>
  <si>
    <t>Affects PTW logic</t>
  </si>
  <si>
    <t>Technical Score (your est., 0-100)</t>
  </si>
  <si>
    <t>Self-assessed score on technical volume</t>
  </si>
  <si>
    <t>Competitor Avg Technical Score</t>
  </si>
  <si>
    <t>Best guess from past performance</t>
  </si>
  <si>
    <t>Target Win Probability (PWin)</t>
  </si>
  <si>
    <t>Your honest PWin estimate at base price</t>
  </si>
  <si>
    <t>Minimum Acceptable Fee %</t>
  </si>
  <si>
    <t>Walk-away floor on margin</t>
  </si>
  <si>
    <t>Conservative Price Discount vs Base</t>
  </si>
  <si>
    <t>How much to drop below base price</t>
  </si>
  <si>
    <t>Aggressive Price Premium vs Base</t>
  </si>
  <si>
    <t>How much above base if you have technical edge</t>
  </si>
  <si>
    <t>THREE-SCENARIO PRICE MODEL</t>
  </si>
  <si>
    <t>Scenario</t>
  </si>
  <si>
    <t>Conservative</t>
  </si>
  <si>
    <t>Base</t>
  </si>
  <si>
    <t>Aggressive</t>
  </si>
  <si>
    <t>Notes</t>
  </si>
  <si>
    <t>Total Price</t>
  </si>
  <si>
    <t>Built from Cost Buildup proposed price</t>
  </si>
  <si>
    <t>vs Competitor Median</t>
  </si>
  <si>
    <t>Negative = below median (better on LPTA)</t>
  </si>
  <si>
    <t>vs Competitor Min (lowest)</t>
  </si>
  <si>
    <t>Positive = above the lowest bidder</t>
  </si>
  <si>
    <t>Effective Margin %</t>
  </si>
  <si>
    <t>Walk-away floor: see MinFee input above</t>
  </si>
  <si>
    <t>Dollar Profit (PoP)</t>
  </si>
  <si>
    <t>Absolute fee dollars at this price</t>
  </si>
  <si>
    <t>Est. PWin (Best Value adj)</t>
  </si>
  <si>
    <t>Bounded 5-95%. Best Value lifts you when tech &gt; competition</t>
  </si>
  <si>
    <t>Expected Value (Profit × PWin)</t>
  </si>
  <si>
    <t>The scenario with the highest expected value wins. Usually.</t>
  </si>
  <si>
    <t>RECOMMENDATION</t>
  </si>
  <si>
    <t>Recommended Scenario</t>
  </si>
  <si>
    <t>Recommended Price</t>
  </si>
  <si>
    <t>RISK FLAGS</t>
  </si>
  <si>
    <t>Wrap Rate above 2.5 (cost-uncompetitive)</t>
  </si>
  <si>
    <t>Effective Margin below MinFee on Base</t>
  </si>
  <si>
    <t>Your Base Price more than 20% above Competitor Min</t>
  </si>
  <si>
    <t>No competitors entered</t>
  </si>
  <si>
    <t>Bench variance &gt;20% on any labor row</t>
  </si>
  <si>
    <t>Final check before submission: walk this page with your capture lead. The model is a starting point, not a final answer. If the recommendation feels wrong, the inputs are usually the problem — challenge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</si>
</sst>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00"/>
    <numFmt numFmtId="165" formatCode="0.0%"/>
    <numFmt numFmtId="166" formatCode="0.000"/>
    <numFmt numFmtId="167" formatCode="&quot;$&quot;#,##0"/>
  </numFmts>
  <fonts count="17" x14ac:knownFonts="1">
    <font>
      <color theme="1"/>
      <family val="2"/>
      <scheme val="minor"/>
      <sz val="11"/>
      <name val="Calibri"/>
    </font>
    <font>
      <b/>
      <color rgb="FFFFFFFF"/>
      <sz val="18"/>
      <name val="Calibri"/>
    </font>
    <font>
      <i/>
      <color rgb="FF1F2937"/>
      <sz val="11"/>
      <name val="Calibri"/>
    </font>
    <font>
      <b/>
      <color rgb="FFFFFFFF"/>
      <sz val="12"/>
      <name val="Calibri"/>
    </font>
    <font>
      <b/>
      <color rgb="FF047857"/>
      <sz val="10"/>
      <name val="Calibri"/>
    </font>
    <font>
      <color rgb="FF1F2937"/>
      <sz val="10"/>
      <name val="Calibri"/>
    </font>
    <font>
      <b/>
      <color rgb="FF1F2937"/>
      <sz val="10"/>
      <name val="Calibri"/>
    </font>
    <font>
      <color rgb="FF1D4ED8"/>
      <sz val="10"/>
      <name val="Calibri"/>
    </font>
    <font>
      <b/>
      <color rgb="FFFFFFFF"/>
      <sz val="10"/>
      <name val="Calibri"/>
    </font>
    <font>
      <i/>
      <color rgb="FF15803D"/>
      <sz val="10"/>
      <name val="Calibri"/>
    </font>
    <font>
      <b/>
      <color rgb="FF1D4ED8"/>
      <sz val="10"/>
      <name val="Calibri"/>
    </font>
    <font>
      <i/>
      <color rgb="FF64748B"/>
      <sz val="9"/>
      <name val="Calibri"/>
    </font>
    <font>
      <b/>
      <color rgb="FFFFFFFF"/>
      <sz val="11"/>
      <name val="Calibri"/>
    </font>
    <font>
      <i/>
      <color rgb="FF1D4ED8"/>
      <sz val="10"/>
      <name val="Calibri"/>
    </font>
    <font>
      <b/>
      <color rgb="FFFFFFFF"/>
      <sz val="14"/>
      <name val="Calibri"/>
    </font>
    <font>
      <b/>
      <color rgb="FF047857"/>
      <sz val="14"/>
      <name val="Calibri"/>
    </font>
    <font>
      <i/>
      <color rgb="FF64748B"/>
      <sz val="10"/>
      <name val="Calibri"/>
    </font>
  </fonts>
  <fills count="10">
    <fill>
      <patternFill patternType="none"/>
    </fill>
    <fill>
      <patternFill patternType="gray125"/>
    </fill>
    <fill>
      <patternFill patternType="solid">
        <fgColor rgb="FF047857"/>
      </patternFill>
    </fill>
    <fill>
      <patternFill patternType="solid">
        <fgColor rgb="FF10B981"/>
      </patternFill>
    </fill>
    <fill>
      <patternFill patternType="solid">
        <fgColor rgb="FFDBEAFE"/>
      </patternFill>
    </fill>
    <fill>
      <patternFill patternType="solid">
        <fgColor rgb="FFF1F5F9"/>
      </patternFill>
    </fill>
    <fill>
      <patternFill patternType="solid">
        <fgColor rgb="FFD1FAE5"/>
      </patternFill>
    </fill>
    <fill>
      <patternFill patternType="solid">
        <fgColor rgb="FFFEF3C7"/>
      </patternFill>
    </fill>
    <fill>
      <patternFill patternType="solid">
        <fgColor rgb="FFFEE2E2"/>
      </patternFill>
    </fill>
    <fill>
      <patternFill patternType="solid">
        <fgColor rgb="FF1F293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8">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wrapText="1"/>
    </xf>
    <xf numFmtId="0" fontId="3" fillId="3" borderId="0" xfId="0" applyFont="1" applyFill="1" applyAlignment="1">
      <alignment horizontal="left" vertical="center" indent="1"/>
    </xf>
    <xf numFmtId="0" fontId="4" fillId="0" borderId="0" xfId="0" applyFont="1" applyAlignment="1">
      <alignment horizontal="left" vertical="center" wrapText="1"/>
    </xf>
    <xf numFmtId="0" fontId="5" fillId="0" borderId="0" xfId="0" applyFont="1" applyAlignment="1">
      <alignment vertical="top" wrapText="1"/>
    </xf>
    <xf numFmtId="0" fontId="6" fillId="4" borderId="1" xfId="0" applyFont="1" applyFill="1" applyBorder="1" applyAlignment="1">
      <alignment horizontal="center" vertical="center"/>
    </xf>
    <xf numFmtId="0" fontId="5" fillId="0" borderId="0" xfId="0" applyFont="1" applyAlignment="1">
      <alignment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0" borderId="0" xfId="0" applyFont="1" applyAlignment="1">
      <alignment vertical="top"/>
    </xf>
    <xf numFmtId="0" fontId="6" fillId="0" borderId="0" xfId="0" applyFont="1" applyAlignment="1">
      <alignment horizontal="left" vertical="center" wrapText="1"/>
    </xf>
    <xf numFmtId="0" fontId="7" fillId="0" borderId="0" xfId="0" applyFont="1" applyAlignment="1">
      <alignment vertical="center"/>
    </xf>
    <xf numFmtId="0" fontId="8" fillId="9"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164" fontId="9" fillId="0" borderId="1" xfId="0" applyNumberFormat="1" applyFont="1" applyBorder="1" applyAlignment="1">
      <alignment horizontal="right" vertical="center"/>
    </xf>
    <xf numFmtId="165" fontId="10" fillId="4" borderId="1" xfId="0" applyNumberFormat="1" applyFont="1" applyFill="1" applyBorder="1" applyAlignment="1">
      <alignment horizontal="right" vertical="center"/>
    </xf>
    <xf numFmtId="0" fontId="11" fillId="0" borderId="0" xfId="0" applyFont="1" applyAlignment="1">
      <alignment horizontal="left" vertical="center" indent="1"/>
    </xf>
    <xf numFmtId="166" fontId="6" fillId="5" borderId="1" xfId="0" applyNumberFormat="1" applyFont="1" applyFill="1" applyBorder="1" applyAlignment="1">
      <alignment horizontal="right" vertical="center"/>
    </xf>
    <xf numFmtId="0" fontId="11" fillId="0" borderId="0" xfId="0" applyFont="1" applyAlignment="1">
      <alignment vertical="center"/>
    </xf>
    <xf numFmtId="1" fontId="10" fillId="4" borderId="1" xfId="0" applyNumberFormat="1" applyFont="1" applyFill="1" applyBorder="1" applyAlignment="1">
      <alignment horizontal="right" vertical="center"/>
    </xf>
    <xf numFmtId="0" fontId="7" fillId="4" borderId="1" xfId="0" applyFont="1" applyFill="1" applyBorder="1" applyAlignment="1">
      <alignment horizontal="left" vertical="center"/>
    </xf>
    <xf numFmtId="0" fontId="7" fillId="4" borderId="1" xfId="0" applyFont="1" applyFill="1" applyBorder="1" applyAlignment="1">
      <alignment horizontal="center" vertical="center"/>
    </xf>
    <xf numFmtId="3" fontId="10" fillId="4" borderId="1" xfId="0" applyNumberFormat="1" applyFont="1" applyFill="1" applyBorder="1" applyAlignment="1">
      <alignment horizontal="right" vertical="center"/>
    </xf>
    <xf numFmtId="3" fontId="5" fillId="5" borderId="1" xfId="0" applyNumberFormat="1" applyFont="1" applyFill="1" applyBorder="1" applyAlignment="1">
      <alignment horizontal="right" vertical="center"/>
    </xf>
    <xf numFmtId="164" fontId="10" fillId="4"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4" fontId="6"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0" fontId="12" fillId="2" borderId="0" xfId="0" applyFont="1" applyFill="1" applyAlignment="1">
      <alignment horizontal="left" vertical="center" indent="1"/>
    </xf>
    <xf numFmtId="3" fontId="4" fillId="5" borderId="1" xfId="0" applyNumberFormat="1" applyFont="1" applyFill="1" applyBorder="1" applyAlignment="1">
      <alignment horizontal="right" vertical="center"/>
    </xf>
    <xf numFmtId="0" fontId="5" fillId="5" borderId="1" xfId="0" applyFont="1" applyFill="1" applyBorder="1" applyAlignment="1">
      <alignment horizontal="right" vertical="center"/>
    </xf>
    <xf numFmtId="167" fontId="4" fillId="5" borderId="1" xfId="0" applyNumberFormat="1" applyFont="1" applyFill="1" applyBorder="1" applyAlignment="1">
      <alignment horizontal="right" vertical="center"/>
    </xf>
    <xf numFmtId="167" fontId="6"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6" fontId="10" fillId="4" borderId="1" xfId="0" applyNumberFormat="1" applyFont="1" applyFill="1" applyBorder="1" applyAlignment="1">
      <alignment horizontal="right" vertical="center"/>
    </xf>
    <xf numFmtId="0" fontId="13" fillId="4" borderId="1" xfId="0" applyFont="1" applyFill="1" applyBorder="1" applyAlignment="1">
      <alignment horizontal="left" vertical="center"/>
    </xf>
    <xf numFmtId="1" fontId="6" fillId="5" borderId="1" xfId="0" applyNumberFormat="1" applyFont="1" applyFill="1" applyBorder="1" applyAlignment="1">
      <alignment horizontal="right" vertical="center"/>
    </xf>
    <xf numFmtId="0" fontId="11" fillId="0" borderId="0" xfId="0" applyFont="1" applyAlignment="1">
      <alignment vertical="center" wrapText="1"/>
    </xf>
    <xf numFmtId="165" fontId="6" fillId="5" borderId="1" xfId="0" applyNumberFormat="1" applyFont="1" applyFill="1" applyBorder="1" applyAlignment="1">
      <alignment horizontal="right" vertical="center"/>
    </xf>
    <xf numFmtId="0" fontId="14" fillId="2" borderId="1" xfId="0" applyFont="1" applyFill="1" applyBorder="1" applyAlignment="1">
      <alignment horizontal="center" vertical="center"/>
    </xf>
    <xf numFmtId="167" fontId="15" fillId="0" borderId="1" xfId="0" applyNumberFormat="1" applyFont="1" applyBorder="1" applyAlignment="1">
      <alignment horizontal="center" vertical="center"/>
    </xf>
    <xf numFmtId="0" fontId="5" fillId="0" borderId="1" xfId="0" applyFont="1" applyBorder="1" applyAlignment="1">
      <alignment horizontal="left" vertical="center" indent="1"/>
    </xf>
    <xf numFmtId="0" fontId="16" fillId="0" borderId="0" xfId="0" applyFont="1" applyAlignment="1">
      <alignment vertical="center" wrapText="1"/>
    </xf>
  </cellXfs>
  <cellStyles count="1">
    <cellStyle name="Normal" xfId="0" builtinId="0"/>
  </cellStyles>
  <dxfs count="18">
    <dxf>
      <font>
        <b/>
        <color rgb="FF991B1B"/>
      </font>
      <fill>
        <patternFill patternType="solid">
          <bgColor rgb="FFFEE2E2"/>
        </patternFill>
      </fill>
    </dxf>
    <dxf>
      <font>
        <b/>
        <color rgb="FF991B1B"/>
      </font>
      <fill>
        <patternFill patternType="solid">
          <bgColor rgb="FFFEE2E2"/>
        </patternFill>
      </fill>
    </dxf>
    <dxf>
      <font>
        <color rgb="FF065F46"/>
      </font>
      <fill>
        <patternFill patternType="solid">
          <bgColor rgb="FFD1FAE5"/>
        </patternFill>
      </fill>
    </dxf>
    <dxf>
      <font>
        <b/>
        <color rgb="FF991B1B"/>
      </font>
      <fill>
        <patternFill patternType="solid">
          <bgColor rgb="FFFEE2E2"/>
        </patternFill>
      </fill>
    </dxf>
    <dxf>
      <font>
        <b/>
        <color rgb="FF065F46"/>
      </font>
      <fill>
        <patternFill patternType="solid">
          <bgColor rgb="FFD1FAE5"/>
        </patternFill>
      </fill>
    </dxf>
    <dxf>
      <font>
        <b/>
        <color rgb="FF991B1B"/>
      </font>
      <fill>
        <patternFill patternType="solid">
          <bgColor rgb="FFFEE2E2"/>
        </patternFill>
      </fill>
    </dxf>
    <dxf>
      <font>
        <b/>
        <color rgb="FF065F46"/>
      </font>
      <fill>
        <patternFill patternType="solid">
          <bgColor rgb="FFD1FAE5"/>
        </patternFill>
      </fill>
    </dxf>
    <dxf>
      <font>
        <b/>
        <color rgb="FF065F46"/>
      </font>
      <fill>
        <patternFill patternType="solid">
          <bgColor rgb="FFD1FAE5"/>
        </patternFill>
      </fill>
    </dxf>
    <dxf>
      <font>
        <b/>
        <color rgb="FF991B1B"/>
      </font>
      <fill>
        <patternFill patternType="solid">
          <bgColor rgb="FFFEE2E2"/>
        </patternFill>
      </fill>
    </dxf>
    <dxf>
      <font>
        <color rgb="FF065F46"/>
      </font>
      <fill>
        <patternFill patternType="solid">
          <bgColor rgb="FFD1FAE5"/>
        </patternFill>
      </fill>
    </dxf>
    <dxf>
      <font>
        <b/>
        <color rgb="FF991B1B"/>
      </font>
      <fill>
        <patternFill patternType="solid">
          <bgColor rgb="FFFEE2E2"/>
        </patternFill>
      </fill>
    </dxf>
    <dxf>
      <font>
        <color rgb="FF065F46"/>
      </font>
      <fill>
        <patternFill patternType="solid">
          <bgColor rgb="FFD1FAE5"/>
        </patternFill>
      </fill>
    </dxf>
    <dxf>
      <font>
        <b/>
        <color rgb="FF991B1B"/>
      </font>
      <fill>
        <patternFill patternType="solid">
          <bgColor rgb="FFFEE2E2"/>
        </patternFill>
      </fill>
    </dxf>
    <dxf>
      <font>
        <color rgb="FF065F46"/>
      </font>
      <fill>
        <patternFill patternType="solid">
          <bgColor rgb="FFD1FAE5"/>
        </patternFill>
      </fill>
    </dxf>
    <dxf>
      <font>
        <b/>
        <color rgb="FF991B1B"/>
      </font>
      <fill>
        <patternFill patternType="solid">
          <bgColor rgb="FFFEE2E2"/>
        </patternFill>
      </fill>
    </dxf>
    <dxf>
      <font>
        <color rgb="FF065F46"/>
      </font>
      <fill>
        <patternFill patternType="solid">
          <bgColor rgb="FFD1FAE5"/>
        </patternFill>
      </fill>
    </dxf>
    <dxf>
      <font>
        <b/>
        <color rgb="FF991B1B"/>
      </font>
      <fill>
        <patternFill patternType="solid">
          <bgColor rgb="FFFEE2E2"/>
        </patternFill>
      </fill>
    </dxf>
    <dxf>
      <font>
        <color rgb="FF065F46"/>
      </font>
      <fill>
        <patternFill patternType="solid">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pageSetUpPr fitToPage="1"/>
  </sheetPr>
  <dimension ref="A1:C35"/>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22" customWidth="1"/>
    <col min="3" max="3" width="78" customWidth="1"/>
  </cols>
  <sheetData>
    <row r="1" ht="32" customHeight="1" spans="1:3" x14ac:dyDescent="0.25">
      <c r="A1" s="1" t="s">
        <v>0</v>
      </c>
      <c r="B1"/>
      <c r="C1"/>
    </row>
    <row r="2" ht="36" customHeight="1" spans="1:3" x14ac:dyDescent="0.25">
      <c r="A2" s="2" t="s">
        <v>1</v>
      </c>
      <c r="B2"/>
      <c r="C2"/>
    </row>
    <row r="4" ht="22" customHeight="1" spans="1:3" x14ac:dyDescent="0.25">
      <c r="A4" s="3" t="s">
        <v>2</v>
      </c>
      <c r="B4"/>
      <c r="C4"/>
    </row>
    <row r="5" ht="32" customHeight="1" spans="2:3" x14ac:dyDescent="0.25">
      <c r="B5" s="4" t="s">
        <v>3</v>
      </c>
      <c r="C5" s="5" t="s">
        <v>4</v>
      </c>
    </row>
    <row r="6" ht="32" customHeight="1" spans="2:3" x14ac:dyDescent="0.25">
      <c r="B6" s="4" t="s">
        <v>5</v>
      </c>
      <c r="C6" s="5" t="s">
        <v>6</v>
      </c>
    </row>
    <row r="7" ht="32" customHeight="1" spans="2:3" x14ac:dyDescent="0.25">
      <c r="B7" s="4" t="s">
        <v>7</v>
      </c>
      <c r="C7" s="5" t="s">
        <v>8</v>
      </c>
    </row>
    <row r="8" ht="32" customHeight="1" spans="2:3" x14ac:dyDescent="0.25">
      <c r="B8" s="4" t="s">
        <v>9</v>
      </c>
      <c r="C8" s="5" t="s">
        <v>10</v>
      </c>
    </row>
    <row r="9" ht="32" customHeight="1" spans="2:3" x14ac:dyDescent="0.25">
      <c r="B9" s="4" t="s">
        <v>11</v>
      </c>
      <c r="C9" s="5" t="s">
        <v>12</v>
      </c>
    </row>
    <row r="11" ht="22" customHeight="1" spans="1:3" x14ac:dyDescent="0.25">
      <c r="A11" s="3" t="s">
        <v>13</v>
      </c>
      <c r="B11"/>
      <c r="C11"/>
    </row>
    <row r="12" ht="24" customHeight="1" spans="2:3" x14ac:dyDescent="0.25">
      <c r="B12" s="6" t="s">
        <v>14</v>
      </c>
      <c r="C12" s="7" t="s">
        <v>15</v>
      </c>
    </row>
    <row r="13" ht="24" customHeight="1" spans="2:3" x14ac:dyDescent="0.25">
      <c r="B13" s="8" t="s">
        <v>16</v>
      </c>
      <c r="C13" s="7" t="s">
        <v>17</v>
      </c>
    </row>
    <row r="14" ht="24" customHeight="1" spans="2:3" x14ac:dyDescent="0.25">
      <c r="B14" s="9" t="s">
        <v>18</v>
      </c>
      <c r="C14" s="7" t="s">
        <v>19</v>
      </c>
    </row>
    <row r="15" ht="24" customHeight="1" spans="2:3" x14ac:dyDescent="0.25">
      <c r="B15" s="10" t="s">
        <v>20</v>
      </c>
      <c r="C15" s="7" t="s">
        <v>21</v>
      </c>
    </row>
    <row r="16" ht="24" customHeight="1" spans="2:3" x14ac:dyDescent="0.25">
      <c r="B16" s="11" t="s">
        <v>22</v>
      </c>
      <c r="C16" s="7" t="s">
        <v>23</v>
      </c>
    </row>
    <row r="18" ht="22" customHeight="1" spans="1:3" x14ac:dyDescent="0.25">
      <c r="A18" s="3" t="s">
        <v>24</v>
      </c>
      <c r="B18"/>
      <c r="C18"/>
    </row>
    <row r="19" ht="28" customHeight="1" spans="2:3" x14ac:dyDescent="0.25">
      <c r="B19" s="12" t="s">
        <v>25</v>
      </c>
      <c r="C19" s="5" t="s">
        <v>26</v>
      </c>
    </row>
    <row r="20" ht="28" customHeight="1" spans="2:3" x14ac:dyDescent="0.25">
      <c r="B20" s="12" t="s">
        <v>27</v>
      </c>
      <c r="C20" s="5" t="s">
        <v>28</v>
      </c>
    </row>
    <row r="21" ht="28" customHeight="1" spans="2:3" x14ac:dyDescent="0.25">
      <c r="B21" s="12" t="s">
        <v>29</v>
      </c>
      <c r="C21" s="5" t="s">
        <v>30</v>
      </c>
    </row>
    <row r="22" ht="28" customHeight="1" spans="2:3" x14ac:dyDescent="0.25">
      <c r="B22" s="12" t="s">
        <v>31</v>
      </c>
      <c r="C22" s="5" t="s">
        <v>32</v>
      </c>
    </row>
    <row r="23" ht="28" customHeight="1" spans="2:3" x14ac:dyDescent="0.25">
      <c r="B23" s="12" t="s">
        <v>33</v>
      </c>
      <c r="C23" s="5" t="s">
        <v>34</v>
      </c>
    </row>
    <row r="24" ht="28" customHeight="1" spans="2:3" x14ac:dyDescent="0.25">
      <c r="B24" s="12" t="s">
        <v>35</v>
      </c>
      <c r="C24" s="5" t="s">
        <v>36</v>
      </c>
    </row>
    <row r="25" ht="28" customHeight="1" spans="2:3" x14ac:dyDescent="0.25">
      <c r="B25" s="12" t="s">
        <v>37</v>
      </c>
      <c r="C25" s="5" t="s">
        <v>38</v>
      </c>
    </row>
    <row r="26" ht="28" customHeight="1" spans="2:3" x14ac:dyDescent="0.25">
      <c r="B26" s="12" t="s">
        <v>39</v>
      </c>
      <c r="C26" s="5" t="s">
        <v>40</v>
      </c>
    </row>
    <row r="27" ht="28" customHeight="1" spans="2:3" x14ac:dyDescent="0.25">
      <c r="B27" s="12" t="s">
        <v>41</v>
      </c>
      <c r="C27" s="5" t="s">
        <v>42</v>
      </c>
    </row>
    <row r="28" ht="28" customHeight="1" spans="2:3" x14ac:dyDescent="0.25">
      <c r="B28" s="12" t="s">
        <v>43</v>
      </c>
      <c r="C28" s="5" t="s">
        <v>44</v>
      </c>
    </row>
    <row r="30" ht="22" customHeight="1" spans="1:3" x14ac:dyDescent="0.25">
      <c r="A30" s="3" t="s">
        <v>45</v>
      </c>
      <c r="B30"/>
      <c r="C30"/>
    </row>
    <row r="31" spans="2:3" x14ac:dyDescent="0.25">
      <c r="B31" s="13" t="s">
        <v>46</v>
      </c>
      <c r="C31" s="14" t="s">
        <v>47</v>
      </c>
    </row>
    <row r="32" spans="2:3" x14ac:dyDescent="0.25">
      <c r="B32" s="13" t="s">
        <v>48</v>
      </c>
      <c r="C32" s="14" t="s">
        <v>49</v>
      </c>
    </row>
    <row r="33" spans="2:3" x14ac:dyDescent="0.25">
      <c r="B33" s="13" t="s">
        <v>50</v>
      </c>
      <c r="C33" s="14" t="s">
        <v>51</v>
      </c>
    </row>
    <row r="34" spans="2:3" x14ac:dyDescent="0.25">
      <c r="B34" s="13" t="s">
        <v>52</v>
      </c>
      <c r="C34" s="14" t="s">
        <v>53</v>
      </c>
    </row>
    <row r="35" spans="2:3" x14ac:dyDescent="0.25">
      <c r="B35" s="13" t="s">
        <v>54</v>
      </c>
      <c r="C35" s="14" t="s">
        <v>55</v>
      </c>
    </row>
  </sheetData>
  <mergeCells count="6">
    <mergeCell ref="A1:C1"/>
    <mergeCell ref="A2:C2"/>
    <mergeCell ref="A4:C4"/>
    <mergeCell ref="A11:C11"/>
    <mergeCell ref="A18:C18"/>
    <mergeCell ref="A30:C30"/>
  </mergeCells>
  <pageMargins left="0.5" right="0.5" top="0.75" bottom="0.75" header="0.3" footer="0.3"/>
  <pageSetup orientation="portrait" horizontalDpi="4294967295" verticalDpi="4294967295" scale="100" fitToWidth="1" fitToHeight="0"/>
  <headerFooter>
    <oddHeader>&amp;L&amp;B&amp;"Calibri,Bold"&amp;12CapturePilot &amp;R&amp;"Calibri,Italic"&amp;10Price-to-Win Worksheet</oddHeader>
    <oddFooter>&amp;LFLK 08 — Price-to-Win&amp;C&amp;P of &amp;N&amp;Rcapturepilot.com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pageSetUpPr fitToPage="1"/>
  </sheetPr>
  <dimension ref="A1:G34"/>
  <sheetViews>
    <sheetView workbookViewId="0" showGridLines="0">
      <pane ySplit="4" topLeftCell="A5" activePane="bottomLeft" state="frozen"/>
      <selection pane="bottomLeft"/>
    </sheetView>
  </sheetViews>
  <sheetFormatPr defaultRowHeight="15" outlineLevelRow="0" outlineLevelCol="0" x14ac:dyDescent="55"/>
  <cols>
    <col min="1" max="1" width="36" customWidth="1"/>
    <col min="2" max="6" width="14" customWidth="1"/>
    <col min="7" max="7" width="24" customWidth="1"/>
  </cols>
  <sheetData>
    <row r="1" ht="28" customHeight="1" spans="1:7" x14ac:dyDescent="0.25">
      <c r="A1" s="1" t="s">
        <v>56</v>
      </c>
      <c r="B1"/>
      <c r="C1"/>
      <c r="D1"/>
      <c r="E1"/>
      <c r="F1"/>
      <c r="G1"/>
    </row>
    <row r="2" ht="40" customHeight="1" spans="1:7" x14ac:dyDescent="0.25">
      <c r="A2" s="2" t="s">
        <v>57</v>
      </c>
      <c r="B2"/>
      <c r="C2"/>
      <c r="D2"/>
      <c r="E2"/>
      <c r="F2"/>
      <c r="G2"/>
    </row>
    <row r="4" ht="22" customHeight="1" spans="1:7" x14ac:dyDescent="0.25">
      <c r="A4" s="15" t="s">
        <v>58</v>
      </c>
      <c r="B4" s="15" t="s">
        <v>59</v>
      </c>
      <c r="C4" s="15" t="s">
        <v>60</v>
      </c>
      <c r="D4" s="15" t="s">
        <v>61</v>
      </c>
      <c r="E4" s="15" t="s">
        <v>62</v>
      </c>
      <c r="F4" s="15" t="s">
        <v>63</v>
      </c>
      <c r="G4" s="15" t="s">
        <v>64</v>
      </c>
    </row>
    <row r="5" spans="1:7" x14ac:dyDescent="0.25">
      <c r="A5" s="16" t="s">
        <v>65</v>
      </c>
      <c r="B5" s="17" t="s">
        <v>66</v>
      </c>
      <c r="C5" s="18">
        <v>115</v>
      </c>
      <c r="D5" s="18">
        <v>145</v>
      </c>
      <c r="E5" s="18">
        <v>185</v>
      </c>
      <c r="F5" s="17" t="s">
        <v>67</v>
      </c>
      <c r="G5" s="17" t="s">
        <v>68</v>
      </c>
    </row>
    <row r="6" spans="1:7" x14ac:dyDescent="0.25">
      <c r="A6" s="16" t="s">
        <v>65</v>
      </c>
      <c r="B6" s="17" t="s">
        <v>69</v>
      </c>
      <c r="C6" s="18">
        <v>135</v>
      </c>
      <c r="D6" s="18">
        <v>168</v>
      </c>
      <c r="E6" s="18">
        <v>215</v>
      </c>
      <c r="F6" s="17" t="s">
        <v>67</v>
      </c>
      <c r="G6" s="17" t="s">
        <v>68</v>
      </c>
    </row>
    <row r="7" spans="1:7" x14ac:dyDescent="0.25">
      <c r="A7" s="16" t="s">
        <v>65</v>
      </c>
      <c r="B7" s="17" t="s">
        <v>70</v>
      </c>
      <c r="C7" s="18">
        <v>165</v>
      </c>
      <c r="D7" s="18">
        <v>205</v>
      </c>
      <c r="E7" s="18">
        <v>265</v>
      </c>
      <c r="F7" s="17" t="s">
        <v>67</v>
      </c>
      <c r="G7" s="17" t="s">
        <v>68</v>
      </c>
    </row>
    <row r="8" spans="1:7" x14ac:dyDescent="0.25">
      <c r="A8" s="16" t="s">
        <v>71</v>
      </c>
      <c r="B8" s="17" t="s">
        <v>66</v>
      </c>
      <c r="C8" s="18">
        <v>95</v>
      </c>
      <c r="D8" s="18">
        <v>120</v>
      </c>
      <c r="E8" s="18">
        <v>155</v>
      </c>
      <c r="F8" s="17" t="s">
        <v>67</v>
      </c>
      <c r="G8" s="17" t="s">
        <v>46</v>
      </c>
    </row>
    <row r="9" spans="1:7" x14ac:dyDescent="0.25">
      <c r="A9" s="16" t="s">
        <v>71</v>
      </c>
      <c r="B9" s="17" t="s">
        <v>69</v>
      </c>
      <c r="C9" s="18">
        <v>110</v>
      </c>
      <c r="D9" s="18">
        <v>138</v>
      </c>
      <c r="E9" s="18">
        <v>175</v>
      </c>
      <c r="F9" s="17" t="s">
        <v>67</v>
      </c>
      <c r="G9" s="17" t="s">
        <v>46</v>
      </c>
    </row>
    <row r="10" spans="1:7" x14ac:dyDescent="0.25">
      <c r="A10" s="16" t="s">
        <v>72</v>
      </c>
      <c r="B10" s="17" t="s">
        <v>69</v>
      </c>
      <c r="C10" s="18">
        <v>125</v>
      </c>
      <c r="D10" s="18">
        <v>158</v>
      </c>
      <c r="E10" s="18">
        <v>195</v>
      </c>
      <c r="F10" s="17" t="s">
        <v>67</v>
      </c>
      <c r="G10" s="17" t="s">
        <v>46</v>
      </c>
    </row>
    <row r="11" spans="1:7" x14ac:dyDescent="0.25">
      <c r="A11" s="16" t="s">
        <v>72</v>
      </c>
      <c r="B11" s="17" t="s">
        <v>70</v>
      </c>
      <c r="C11" s="18">
        <v>155</v>
      </c>
      <c r="D11" s="18">
        <v>195</v>
      </c>
      <c r="E11" s="18">
        <v>245</v>
      </c>
      <c r="F11" s="17" t="s">
        <v>67</v>
      </c>
      <c r="G11" s="17" t="s">
        <v>46</v>
      </c>
    </row>
    <row r="12" spans="1:7" x14ac:dyDescent="0.25">
      <c r="A12" s="16" t="s">
        <v>73</v>
      </c>
      <c r="B12" s="17" t="s">
        <v>66</v>
      </c>
      <c r="C12" s="18">
        <v>85</v>
      </c>
      <c r="D12" s="18">
        <v>110</v>
      </c>
      <c r="E12" s="18">
        <v>140</v>
      </c>
      <c r="F12" s="17" t="s">
        <v>67</v>
      </c>
      <c r="G12" s="17" t="s">
        <v>46</v>
      </c>
    </row>
    <row r="13" spans="1:7" x14ac:dyDescent="0.25">
      <c r="A13" s="16" t="s">
        <v>73</v>
      </c>
      <c r="B13" s="17" t="s">
        <v>69</v>
      </c>
      <c r="C13" s="18">
        <v>105</v>
      </c>
      <c r="D13" s="18">
        <v>132</v>
      </c>
      <c r="E13" s="18">
        <v>165</v>
      </c>
      <c r="F13" s="17" t="s">
        <v>67</v>
      </c>
      <c r="G13" s="17" t="s">
        <v>46</v>
      </c>
    </row>
    <row r="14" spans="1:7" x14ac:dyDescent="0.25">
      <c r="A14" s="16" t="s">
        <v>74</v>
      </c>
      <c r="B14" s="17" t="s">
        <v>66</v>
      </c>
      <c r="C14" s="18">
        <v>110</v>
      </c>
      <c r="D14" s="18">
        <v>138</v>
      </c>
      <c r="E14" s="18">
        <v>175</v>
      </c>
      <c r="F14" s="17" t="s">
        <v>67</v>
      </c>
      <c r="G14" s="17" t="s">
        <v>75</v>
      </c>
    </row>
    <row r="15" spans="1:7" x14ac:dyDescent="0.25">
      <c r="A15" s="16" t="s">
        <v>74</v>
      </c>
      <c r="B15" s="17" t="s">
        <v>69</v>
      </c>
      <c r="C15" s="18">
        <v>130</v>
      </c>
      <c r="D15" s="18">
        <v>165</v>
      </c>
      <c r="E15" s="18">
        <v>210</v>
      </c>
      <c r="F15" s="17" t="s">
        <v>67</v>
      </c>
      <c r="G15" s="17" t="s">
        <v>75</v>
      </c>
    </row>
    <row r="16" spans="1:7" x14ac:dyDescent="0.25">
      <c r="A16" s="16" t="s">
        <v>74</v>
      </c>
      <c r="B16" s="17" t="s">
        <v>70</v>
      </c>
      <c r="C16" s="18">
        <v>160</v>
      </c>
      <c r="D16" s="18">
        <v>200</v>
      </c>
      <c r="E16" s="18">
        <v>255</v>
      </c>
      <c r="F16" s="17" t="s">
        <v>67</v>
      </c>
      <c r="G16" s="17" t="s">
        <v>75</v>
      </c>
    </row>
    <row r="17" spans="1:7" x14ac:dyDescent="0.25">
      <c r="A17" s="16" t="s">
        <v>76</v>
      </c>
      <c r="B17" s="17" t="s">
        <v>66</v>
      </c>
      <c r="C17" s="18">
        <v>85</v>
      </c>
      <c r="D17" s="18">
        <v>108</v>
      </c>
      <c r="E17" s="18">
        <v>138</v>
      </c>
      <c r="F17" s="17" t="s">
        <v>67</v>
      </c>
      <c r="G17" s="17" t="s">
        <v>75</v>
      </c>
    </row>
    <row r="18" spans="1:7" x14ac:dyDescent="0.25">
      <c r="A18" s="16" t="s">
        <v>76</v>
      </c>
      <c r="B18" s="17" t="s">
        <v>69</v>
      </c>
      <c r="C18" s="18">
        <v>100</v>
      </c>
      <c r="D18" s="18">
        <v>128</v>
      </c>
      <c r="E18" s="18">
        <v>162</v>
      </c>
      <c r="F18" s="17" t="s">
        <v>67</v>
      </c>
      <c r="G18" s="17" t="s">
        <v>75</v>
      </c>
    </row>
    <row r="19" spans="1:7" x14ac:dyDescent="0.25">
      <c r="A19" s="16" t="s">
        <v>77</v>
      </c>
      <c r="B19" s="17" t="s">
        <v>69</v>
      </c>
      <c r="C19" s="18">
        <v>115</v>
      </c>
      <c r="D19" s="18">
        <v>145</v>
      </c>
      <c r="E19" s="18">
        <v>185</v>
      </c>
      <c r="F19" s="17" t="s">
        <v>67</v>
      </c>
      <c r="G19" s="17" t="s">
        <v>46</v>
      </c>
    </row>
    <row r="20" spans="1:7" x14ac:dyDescent="0.25">
      <c r="A20" s="16" t="s">
        <v>77</v>
      </c>
      <c r="B20" s="17" t="s">
        <v>70</v>
      </c>
      <c r="C20" s="18">
        <v>145</v>
      </c>
      <c r="D20" s="18">
        <v>182</v>
      </c>
      <c r="E20" s="18">
        <v>230</v>
      </c>
      <c r="F20" s="17" t="s">
        <v>67</v>
      </c>
      <c r="G20" s="17" t="s">
        <v>46</v>
      </c>
    </row>
    <row r="21" spans="1:7" x14ac:dyDescent="0.25">
      <c r="A21" s="16" t="s">
        <v>78</v>
      </c>
      <c r="B21" s="17" t="s">
        <v>66</v>
      </c>
      <c r="C21" s="18">
        <v>130</v>
      </c>
      <c r="D21" s="18">
        <v>165</v>
      </c>
      <c r="E21" s="18">
        <v>210</v>
      </c>
      <c r="F21" s="17" t="s">
        <v>67</v>
      </c>
      <c r="G21" s="17" t="s">
        <v>79</v>
      </c>
    </row>
    <row r="22" spans="1:7" x14ac:dyDescent="0.25">
      <c r="A22" s="16" t="s">
        <v>78</v>
      </c>
      <c r="B22" s="17" t="s">
        <v>69</v>
      </c>
      <c r="C22" s="18">
        <v>155</v>
      </c>
      <c r="D22" s="18">
        <v>195</v>
      </c>
      <c r="E22" s="18">
        <v>245</v>
      </c>
      <c r="F22" s="17" t="s">
        <v>67</v>
      </c>
      <c r="G22" s="17" t="s">
        <v>79</v>
      </c>
    </row>
    <row r="23" spans="1:7" x14ac:dyDescent="0.25">
      <c r="A23" s="16" t="s">
        <v>80</v>
      </c>
      <c r="B23" s="17" t="s">
        <v>66</v>
      </c>
      <c r="C23" s="18">
        <v>110</v>
      </c>
      <c r="D23" s="18">
        <v>142</v>
      </c>
      <c r="E23" s="18">
        <v>180</v>
      </c>
      <c r="F23" s="17" t="s">
        <v>67</v>
      </c>
      <c r="G23" s="17" t="s">
        <v>79</v>
      </c>
    </row>
    <row r="24" spans="1:7" x14ac:dyDescent="0.25">
      <c r="A24" s="16" t="s">
        <v>80</v>
      </c>
      <c r="B24" s="17" t="s">
        <v>69</v>
      </c>
      <c r="C24" s="18">
        <v>130</v>
      </c>
      <c r="D24" s="18">
        <v>165</v>
      </c>
      <c r="E24" s="18">
        <v>210</v>
      </c>
      <c r="F24" s="17" t="s">
        <v>67</v>
      </c>
      <c r="G24" s="17" t="s">
        <v>79</v>
      </c>
    </row>
    <row r="25" spans="1:7" x14ac:dyDescent="0.25">
      <c r="A25" s="16" t="s">
        <v>81</v>
      </c>
      <c r="B25" s="17" t="s">
        <v>66</v>
      </c>
      <c r="C25" s="18">
        <v>105</v>
      </c>
      <c r="D25" s="18">
        <v>135</v>
      </c>
      <c r="E25" s="18">
        <v>170</v>
      </c>
      <c r="F25" s="17" t="s">
        <v>67</v>
      </c>
      <c r="G25" s="17" t="s">
        <v>46</v>
      </c>
    </row>
    <row r="26" spans="1:7" x14ac:dyDescent="0.25">
      <c r="A26" s="16" t="s">
        <v>81</v>
      </c>
      <c r="B26" s="17" t="s">
        <v>69</v>
      </c>
      <c r="C26" s="18">
        <v>125</v>
      </c>
      <c r="D26" s="18">
        <v>158</v>
      </c>
      <c r="E26" s="18">
        <v>200</v>
      </c>
      <c r="F26" s="17" t="s">
        <v>67</v>
      </c>
      <c r="G26" s="17" t="s">
        <v>46</v>
      </c>
    </row>
    <row r="27" spans="1:7" x14ac:dyDescent="0.25">
      <c r="A27" s="16" t="s">
        <v>82</v>
      </c>
      <c r="B27" s="17" t="s">
        <v>66</v>
      </c>
      <c r="C27" s="18">
        <v>65</v>
      </c>
      <c r="D27" s="18">
        <v>85</v>
      </c>
      <c r="E27" s="18">
        <v>110</v>
      </c>
      <c r="F27" s="17" t="s">
        <v>67</v>
      </c>
      <c r="G27" s="17" t="s">
        <v>46</v>
      </c>
    </row>
    <row r="28" spans="1:7" x14ac:dyDescent="0.25">
      <c r="A28" s="16" t="s">
        <v>82</v>
      </c>
      <c r="B28" s="17" t="s">
        <v>69</v>
      </c>
      <c r="C28" s="18">
        <v>80</v>
      </c>
      <c r="D28" s="18">
        <v>102</v>
      </c>
      <c r="E28" s="18">
        <v>128</v>
      </c>
      <c r="F28" s="17" t="s">
        <v>67</v>
      </c>
      <c r="G28" s="17" t="s">
        <v>46</v>
      </c>
    </row>
    <row r="29" spans="1:7" x14ac:dyDescent="0.25">
      <c r="A29" s="16" t="s">
        <v>83</v>
      </c>
      <c r="B29" s="17" t="s">
        <v>66</v>
      </c>
      <c r="C29" s="18">
        <v>35</v>
      </c>
      <c r="D29" s="18">
        <v>48</v>
      </c>
      <c r="E29" s="18">
        <v>62</v>
      </c>
      <c r="F29" s="17" t="s">
        <v>67</v>
      </c>
      <c r="G29" s="17" t="s">
        <v>46</v>
      </c>
    </row>
    <row r="30" spans="1:7" x14ac:dyDescent="0.25">
      <c r="A30" s="16" t="s">
        <v>84</v>
      </c>
      <c r="B30" s="17" t="s">
        <v>66</v>
      </c>
      <c r="C30" s="18">
        <v>48</v>
      </c>
      <c r="D30" s="18">
        <v>62</v>
      </c>
      <c r="E30" s="18">
        <v>78</v>
      </c>
      <c r="F30" s="17" t="s">
        <v>67</v>
      </c>
      <c r="G30" s="17" t="s">
        <v>46</v>
      </c>
    </row>
    <row r="31" spans="1:7" x14ac:dyDescent="0.25">
      <c r="A31" s="16" t="s">
        <v>85</v>
      </c>
      <c r="B31" s="17" t="s">
        <v>69</v>
      </c>
      <c r="C31" s="18">
        <v>65</v>
      </c>
      <c r="D31" s="18">
        <v>82</v>
      </c>
      <c r="E31" s="18">
        <v>105</v>
      </c>
      <c r="F31" s="17" t="s">
        <v>67</v>
      </c>
      <c r="G31" s="17" t="s">
        <v>46</v>
      </c>
    </row>
    <row r="32" spans="1:7" x14ac:dyDescent="0.25">
      <c r="A32" s="16" t="s">
        <v>86</v>
      </c>
      <c r="B32" s="17" t="s">
        <v>66</v>
      </c>
      <c r="C32" s="18">
        <v>28</v>
      </c>
      <c r="D32" s="18">
        <v>38</v>
      </c>
      <c r="E32" s="18">
        <v>50</v>
      </c>
      <c r="F32" s="17" t="s">
        <v>67</v>
      </c>
      <c r="G32" s="17" t="s">
        <v>87</v>
      </c>
    </row>
    <row r="33" spans="1:7" x14ac:dyDescent="0.25">
      <c r="A33" s="16" t="s">
        <v>88</v>
      </c>
      <c r="B33" s="17" t="s">
        <v>69</v>
      </c>
      <c r="C33" s="18">
        <v>165</v>
      </c>
      <c r="D33" s="18">
        <v>210</v>
      </c>
      <c r="E33" s="18">
        <v>275</v>
      </c>
      <c r="F33" s="17" t="s">
        <v>67</v>
      </c>
      <c r="G33" s="17" t="s">
        <v>46</v>
      </c>
    </row>
    <row r="34" spans="1:7" x14ac:dyDescent="0.25">
      <c r="A34" s="16" t="s">
        <v>88</v>
      </c>
      <c r="B34" s="17" t="s">
        <v>70</v>
      </c>
      <c r="C34" s="18">
        <v>195</v>
      </c>
      <c r="D34" s="18">
        <v>250</v>
      </c>
      <c r="E34" s="18">
        <v>325</v>
      </c>
      <c r="F34" s="17" t="s">
        <v>67</v>
      </c>
      <c r="G34" s="17" t="s">
        <v>46</v>
      </c>
    </row>
  </sheetData>
  <mergeCells count="2">
    <mergeCell ref="A1:G1"/>
    <mergeCell ref="A2:G2"/>
  </mergeCells>
  <pageMargins left="0.5" right="0.5" top="0.75" bottom="0.75" header="0.3" footer="0.3"/>
  <pageSetup orientation="portrait" horizontalDpi="4294967295" verticalDpi="4294967295" scale="100" fitToWidth="1" fitToHeight="0"/>
  <headerFooter>
    <oddHeader>&amp;L&amp;B&amp;"Calibri,Bold"&amp;12CapturePilot &amp;R&amp;"Calibri,Italic"&amp;10Price-to-Win Worksheet</oddHeader>
    <oddFooter>&amp;LFLK 08 — Price-to-Win&amp;C&amp;P of &amp;N&amp;Rcapturepilot.com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pageSetUpPr fitToPage="1"/>
  </sheetPr>
  <dimension ref="A1:O44"/>
  <sheetViews>
    <sheetView workbookViewId="0" showGridLines="0">
      <pane ySplit="12" topLeftCell="A13" activePane="bottomLeft" state="frozen"/>
      <selection pane="bottomLeft"/>
    </sheetView>
  </sheetViews>
  <sheetFormatPr defaultRowHeight="15" outlineLevelRow="0" outlineLevelCol="0" x14ac:dyDescent="55"/>
  <cols>
    <col min="1" max="1" width="32" customWidth="1"/>
    <col min="2" max="2" width="14" customWidth="1"/>
    <col min="3" max="5" width="12" customWidth="1"/>
    <col min="6" max="14" width="14" customWidth="1"/>
    <col min="15" max="15" width="12" customWidth="1"/>
  </cols>
  <sheetData>
    <row r="1" ht="28" customHeight="1" spans="1:15" x14ac:dyDescent="0.25">
      <c r="A1" s="1" t="s">
        <v>89</v>
      </c>
      <c r="B1"/>
      <c r="C1"/>
      <c r="D1"/>
      <c r="E1"/>
      <c r="F1"/>
      <c r="G1"/>
      <c r="H1"/>
      <c r="I1"/>
      <c r="J1"/>
      <c r="K1"/>
      <c r="L1"/>
      <c r="M1"/>
      <c r="N1"/>
      <c r="O1"/>
    </row>
    <row r="2" ht="32" customHeight="1" spans="1:15" x14ac:dyDescent="0.25">
      <c r="A2" s="2" t="s">
        <v>90</v>
      </c>
      <c r="B2"/>
      <c r="C2"/>
      <c r="D2"/>
      <c r="E2"/>
      <c r="F2"/>
      <c r="G2"/>
      <c r="H2"/>
      <c r="I2"/>
      <c r="J2"/>
      <c r="K2"/>
      <c r="L2"/>
      <c r="M2"/>
      <c r="N2"/>
      <c r="O2"/>
    </row>
    <row r="4" spans="1:15" x14ac:dyDescent="0.25">
      <c r="A4" s="3" t="s">
        <v>91</v>
      </c>
      <c r="B4"/>
      <c r="C4"/>
      <c r="D4"/>
      <c r="E4"/>
      <c r="F4"/>
      <c r="G4"/>
      <c r="H4"/>
      <c r="I4"/>
      <c r="J4"/>
      <c r="K4"/>
      <c r="L4"/>
      <c r="M4"/>
      <c r="N4"/>
      <c r="O4"/>
    </row>
    <row r="5" spans="1:6" x14ac:dyDescent="0.25">
      <c r="A5" s="13" t="s">
        <v>92</v>
      </c>
      <c r="B5" s="19">
        <v>0.3</v>
      </c>
      <c r="C5" s="20" t="s">
        <v>93</v>
      </c>
      <c r="D5"/>
      <c r="E5"/>
      <c r="F5"/>
    </row>
    <row r="6" spans="1:6" x14ac:dyDescent="0.25">
      <c r="A6" s="13" t="s">
        <v>94</v>
      </c>
      <c r="B6" s="19">
        <v>0.18</v>
      </c>
      <c r="C6" s="20" t="s">
        <v>95</v>
      </c>
      <c r="D6"/>
      <c r="E6"/>
      <c r="F6"/>
    </row>
    <row r="7" spans="1:6" x14ac:dyDescent="0.25">
      <c r="A7" s="13" t="s">
        <v>96</v>
      </c>
      <c r="B7" s="19">
        <v>0.12</v>
      </c>
      <c r="C7" s="20" t="s">
        <v>97</v>
      </c>
      <c r="D7"/>
      <c r="E7"/>
      <c r="F7"/>
    </row>
    <row r="8" spans="1:6" x14ac:dyDescent="0.25">
      <c r="A8" s="13" t="s">
        <v>98</v>
      </c>
      <c r="B8" s="19">
        <v>0.08</v>
      </c>
      <c r="C8" s="20" t="s">
        <v>99</v>
      </c>
      <c r="D8"/>
      <c r="E8"/>
      <c r="F8"/>
    </row>
    <row r="9" spans="1:6" x14ac:dyDescent="0.25">
      <c r="A9" s="4" t="s">
        <v>100</v>
      </c>
      <c r="B9" s="21">
        <f>(1+FringeRate)*(1+OHRate)*(1+GARate)</f>
      </c>
      <c r="C9" s="22" t="s">
        <v>101</v>
      </c>
      <c r="D9"/>
      <c r="E9"/>
      <c r="F9"/>
    </row>
    <row r="10" spans="1:6" x14ac:dyDescent="0.25">
      <c r="A10" s="4" t="s">
        <v>102</v>
      </c>
      <c r="B10" s="21">
        <f>WrapRate*(1+FeeRate)</f>
      </c>
      <c r="C10" s="22" t="s">
        <v>103</v>
      </c>
      <c r="D10"/>
      <c r="E10"/>
      <c r="F10"/>
    </row>
    <row r="11" spans="1:2" x14ac:dyDescent="0.25">
      <c r="A11" s="13" t="s">
        <v>104</v>
      </c>
      <c r="B11" s="23">
        <v>5</v>
      </c>
    </row>
    <row r="13" spans="1:15" x14ac:dyDescent="0.25">
      <c r="A13" s="3" t="s">
        <v>105</v>
      </c>
      <c r="B13"/>
      <c r="C13"/>
      <c r="D13"/>
      <c r="E13"/>
      <c r="F13"/>
      <c r="G13"/>
      <c r="H13"/>
      <c r="I13"/>
      <c r="J13"/>
      <c r="K13"/>
      <c r="L13"/>
      <c r="M13"/>
      <c r="N13"/>
      <c r="O13"/>
    </row>
    <row r="14" ht="30" customHeight="1" spans="1:15" x14ac:dyDescent="0.25">
      <c r="A14" s="15" t="s">
        <v>58</v>
      </c>
      <c r="B14" s="15" t="s">
        <v>59</v>
      </c>
      <c r="C14" s="15" t="s">
        <v>106</v>
      </c>
      <c r="D14" s="15" t="s">
        <v>107</v>
      </c>
      <c r="E14" s="15" t="s">
        <v>108</v>
      </c>
      <c r="F14" s="15" t="s">
        <v>109</v>
      </c>
      <c r="G14" s="15" t="s">
        <v>110</v>
      </c>
      <c r="H14" s="15" t="s">
        <v>111</v>
      </c>
      <c r="I14" s="15" t="s">
        <v>112</v>
      </c>
      <c r="J14" s="15" t="s">
        <v>113</v>
      </c>
      <c r="K14" s="15" t="s">
        <v>114</v>
      </c>
      <c r="L14" s="15" t="s">
        <v>115</v>
      </c>
      <c r="M14" s="15" t="s">
        <v>116</v>
      </c>
      <c r="N14" s="15" t="s">
        <v>117</v>
      </c>
      <c r="O14" s="15" t="s">
        <v>118</v>
      </c>
    </row>
    <row r="15" spans="1:15" x14ac:dyDescent="0.25">
      <c r="A15" s="24" t="s">
        <v>65</v>
      </c>
      <c r="B15" s="25" t="s">
        <v>69</v>
      </c>
      <c r="C15" s="23">
        <v>1</v>
      </c>
      <c r="D15" s="26">
        <v>1880</v>
      </c>
      <c r="E15" s="27">
        <f>IF(OR(C15="",D15=""),"",C15*D15*PoPYears)</f>
      </c>
      <c r="F15" s="28">
        <v>165</v>
      </c>
      <c r="G15" s="29">
        <f>IF(F15="","",F15*(1+FringeRate))</f>
      </c>
      <c r="H15" s="29">
        <f>IF(G15="","",G15*(1+OHRate))</f>
      </c>
      <c r="I15" s="29">
        <f>IF(H15="","",H15*(1+GARate))</f>
      </c>
      <c r="J15" s="30">
        <f>IF(I15="","",I15)</f>
      </c>
      <c r="K15" s="31">
        <f>IF(OR(E15="",J15=""),"",E15*J15)</f>
      </c>
      <c r="L15" s="30">
        <f>IF(J15="","",J15*(1+FeeRate))</f>
      </c>
      <c r="M15" s="31">
        <f>IF(OR(E15="",L15=""),"",E15*L15)</f>
      </c>
      <c r="N15" s="18">
        <f>IFERROR(VLOOKUP(A15,BenchTable,4,FALSE),"")</f>
      </c>
      <c r="O15" s="32">
        <f>IF(OR(N15="",L15=""),"",(L15-N15)/N15)</f>
      </c>
    </row>
    <row r="16" spans="1:15" x14ac:dyDescent="0.25">
      <c r="A16" s="24" t="s">
        <v>72</v>
      </c>
      <c r="B16" s="25" t="s">
        <v>70</v>
      </c>
      <c r="C16" s="23">
        <v>2</v>
      </c>
      <c r="D16" s="26">
        <v>1880</v>
      </c>
      <c r="E16" s="27">
        <f>IF(OR(C16="",D16=""),"",C16*D16*PoPYears)</f>
      </c>
      <c r="F16" s="28">
        <v>145</v>
      </c>
      <c r="G16" s="29">
        <f>IF(F16="","",F16*(1+FringeRate))</f>
      </c>
      <c r="H16" s="29">
        <f>IF(G16="","",G16*(1+OHRate))</f>
      </c>
      <c r="I16" s="29">
        <f>IF(H16="","",H16*(1+GARate))</f>
      </c>
      <c r="J16" s="30">
        <f>IF(I16="","",I16)</f>
      </c>
      <c r="K16" s="31">
        <f>IF(OR(E16="",J16=""),"",E16*J16)</f>
      </c>
      <c r="L16" s="30">
        <f>IF(J16="","",J16*(1+FeeRate))</f>
      </c>
      <c r="M16" s="31">
        <f>IF(OR(E16="",L16=""),"",E16*L16)</f>
      </c>
      <c r="N16" s="18">
        <f>IFERROR(VLOOKUP(A16,BenchTable,4,FALSE),"")</f>
      </c>
      <c r="O16" s="32">
        <f>IF(OR(N16="",L16=""),"",(L16-N16)/N16)</f>
      </c>
    </row>
    <row r="17" spans="1:15" x14ac:dyDescent="0.25">
      <c r="A17" s="24" t="s">
        <v>73</v>
      </c>
      <c r="B17" s="25" t="s">
        <v>69</v>
      </c>
      <c r="C17" s="23">
        <v>3</v>
      </c>
      <c r="D17" s="26">
        <v>1880</v>
      </c>
      <c r="E17" s="27">
        <f>IF(OR(C17="",D17=""),"",C17*D17*PoPYears)</f>
      </c>
      <c r="F17" s="28">
        <v>105</v>
      </c>
      <c r="G17" s="29">
        <f>IF(F17="","",F17*(1+FringeRate))</f>
      </c>
      <c r="H17" s="29">
        <f>IF(G17="","",G17*(1+OHRate))</f>
      </c>
      <c r="I17" s="29">
        <f>IF(H17="","",H17*(1+GARate))</f>
      </c>
      <c r="J17" s="30">
        <f>IF(I17="","",I17)</f>
      </c>
      <c r="K17" s="31">
        <f>IF(OR(E17="",J17=""),"",E17*J17)</f>
      </c>
      <c r="L17" s="30">
        <f>IF(J17="","",J17*(1+FeeRate))</f>
      </c>
      <c r="M17" s="31">
        <f>IF(OR(E17="",L17=""),"",E17*L17)</f>
      </c>
      <c r="N17" s="18">
        <f>IFERROR(VLOOKUP(A17,BenchTable,4,FALSE),"")</f>
      </c>
      <c r="O17" s="32">
        <f>IF(OR(N17="",L17=""),"",(L17-N17)/N17)</f>
      </c>
    </row>
    <row r="18" spans="1:15" x14ac:dyDescent="0.25">
      <c r="A18" s="24" t="s">
        <v>74</v>
      </c>
      <c r="B18" s="25" t="s">
        <v>69</v>
      </c>
      <c r="C18" s="23">
        <v>2</v>
      </c>
      <c r="D18" s="26">
        <v>1880</v>
      </c>
      <c r="E18" s="27">
        <f>IF(OR(C18="",D18=""),"",C18*D18*PoPYears)</f>
      </c>
      <c r="F18" s="28">
        <v>130</v>
      </c>
      <c r="G18" s="29">
        <f>IF(F18="","",F18*(1+FringeRate))</f>
      </c>
      <c r="H18" s="29">
        <f>IF(G18="","",G18*(1+OHRate))</f>
      </c>
      <c r="I18" s="29">
        <f>IF(H18="","",H18*(1+GARate))</f>
      </c>
      <c r="J18" s="30">
        <f>IF(I18="","",I18)</f>
      </c>
      <c r="K18" s="31">
        <f>IF(OR(E18="",J18=""),"",E18*J18)</f>
      </c>
      <c r="L18" s="30">
        <f>IF(J18="","",J18*(1+FeeRate))</f>
      </c>
      <c r="M18" s="31">
        <f>IF(OR(E18="",L18=""),"",E18*L18)</f>
      </c>
      <c r="N18" s="18">
        <f>IFERROR(VLOOKUP(A18,BenchTable,4,FALSE),"")</f>
      </c>
      <c r="O18" s="32">
        <f>IF(OR(N18="",L18=""),"",(L18-N18)/N18)</f>
      </c>
    </row>
    <row r="19" spans="1:15" x14ac:dyDescent="0.25">
      <c r="A19" s="24" t="s">
        <v>76</v>
      </c>
      <c r="B19" s="25" t="s">
        <v>66</v>
      </c>
      <c r="C19" s="23">
        <v>2</v>
      </c>
      <c r="D19" s="26">
        <v>1880</v>
      </c>
      <c r="E19" s="27">
        <f>IF(OR(C19="",D19=""),"",C19*D19*PoPYears)</f>
      </c>
      <c r="F19" s="28">
        <v>95</v>
      </c>
      <c r="G19" s="29">
        <f>IF(F19="","",F19*(1+FringeRate))</f>
      </c>
      <c r="H19" s="29">
        <f>IF(G19="","",G19*(1+OHRate))</f>
      </c>
      <c r="I19" s="29">
        <f>IF(H19="","",H19*(1+GARate))</f>
      </c>
      <c r="J19" s="30">
        <f>IF(I19="","",I19)</f>
      </c>
      <c r="K19" s="31">
        <f>IF(OR(E19="",J19=""),"",E19*J19)</f>
      </c>
      <c r="L19" s="30">
        <f>IF(J19="","",J19*(1+FeeRate))</f>
      </c>
      <c r="M19" s="31">
        <f>IF(OR(E19="",L19=""),"",E19*L19)</f>
      </c>
      <c r="N19" s="18">
        <f>IFERROR(VLOOKUP(A19,BenchTable,4,FALSE),"")</f>
      </c>
      <c r="O19" s="32">
        <f>IF(OR(N19="",L19=""),"",(L19-N19)/N19)</f>
      </c>
    </row>
    <row r="20" spans="1:15" x14ac:dyDescent="0.25">
      <c r="A20" s="24" t="s">
        <v>77</v>
      </c>
      <c r="B20" s="25" t="s">
        <v>69</v>
      </c>
      <c r="C20" s="23">
        <v>1</v>
      </c>
      <c r="D20" s="26">
        <v>1880</v>
      </c>
      <c r="E20" s="27">
        <f>IF(OR(C20="",D20=""),"",C20*D20*PoPYears)</f>
      </c>
      <c r="F20" s="28">
        <v>115</v>
      </c>
      <c r="G20" s="29">
        <f>IF(F20="","",F20*(1+FringeRate))</f>
      </c>
      <c r="H20" s="29">
        <f>IF(G20="","",G20*(1+OHRate))</f>
      </c>
      <c r="I20" s="29">
        <f>IF(H20="","",H20*(1+GARate))</f>
      </c>
      <c r="J20" s="30">
        <f>IF(I20="","",I20)</f>
      </c>
      <c r="K20" s="31">
        <f>IF(OR(E20="",J20=""),"",E20*J20)</f>
      </c>
      <c r="L20" s="30">
        <f>IF(J20="","",J20*(1+FeeRate))</f>
      </c>
      <c r="M20" s="31">
        <f>IF(OR(E20="",L20=""),"",E20*L20)</f>
      </c>
      <c r="N20" s="18">
        <f>IFERROR(VLOOKUP(A20,BenchTable,4,FALSE),"")</f>
      </c>
      <c r="O20" s="32">
        <f>IF(OR(N20="",L20=""),"",(L20-N20)/N20)</f>
      </c>
    </row>
    <row r="21" spans="1:15" x14ac:dyDescent="0.25">
      <c r="A21" s="24" t="s">
        <v>81</v>
      </c>
      <c r="B21" s="25" t="s">
        <v>66</v>
      </c>
      <c r="C21" s="23">
        <v>1</v>
      </c>
      <c r="D21" s="26">
        <v>1880</v>
      </c>
      <c r="E21" s="27">
        <f>IF(OR(C21="",D21=""),"",C21*D21*PoPYears)</f>
      </c>
      <c r="F21" s="28">
        <v>105</v>
      </c>
      <c r="G21" s="29">
        <f>IF(F21="","",F21*(1+FringeRate))</f>
      </c>
      <c r="H21" s="29">
        <f>IF(G21="","",G21*(1+OHRate))</f>
      </c>
      <c r="I21" s="29">
        <f>IF(H21="","",H21*(1+GARate))</f>
      </c>
      <c r="J21" s="30">
        <f>IF(I21="","",I21)</f>
      </c>
      <c r="K21" s="31">
        <f>IF(OR(E21="",J21=""),"",E21*J21)</f>
      </c>
      <c r="L21" s="30">
        <f>IF(J21="","",J21*(1+FeeRate))</f>
      </c>
      <c r="M21" s="31">
        <f>IF(OR(E21="",L21=""),"",E21*L21)</f>
      </c>
      <c r="N21" s="18">
        <f>IFERROR(VLOOKUP(A21,BenchTable,4,FALSE),"")</f>
      </c>
      <c r="O21" s="32">
        <f>IF(OR(N21="",L21=""),"",(L21-N21)/N21)</f>
      </c>
    </row>
    <row r="22" spans="1:15" x14ac:dyDescent="0.25">
      <c r="A22" s="24" t="s">
        <v>82</v>
      </c>
      <c r="B22" s="25" t="s">
        <v>66</v>
      </c>
      <c r="C22" s="23">
        <v>1</v>
      </c>
      <c r="D22" s="26">
        <v>1880</v>
      </c>
      <c r="E22" s="27">
        <f>IF(OR(C22="",D22=""),"",C22*D22*PoPYears)</f>
      </c>
      <c r="F22" s="28">
        <v>65</v>
      </c>
      <c r="G22" s="29">
        <f>IF(F22="","",F22*(1+FringeRate))</f>
      </c>
      <c r="H22" s="29">
        <f>IF(G22="","",G22*(1+OHRate))</f>
      </c>
      <c r="I22" s="29">
        <f>IF(H22="","",H22*(1+GARate))</f>
      </c>
      <c r="J22" s="30">
        <f>IF(I22="","",I22)</f>
      </c>
      <c r="K22" s="31">
        <f>IF(OR(E22="",J22=""),"",E22*J22)</f>
      </c>
      <c r="L22" s="30">
        <f>IF(J22="","",J22*(1+FeeRate))</f>
      </c>
      <c r="M22" s="31">
        <f>IF(OR(E22="",L22=""),"",E22*L22)</f>
      </c>
      <c r="N22" s="18">
        <f>IFERROR(VLOOKUP(A22,BenchTable,4,FALSE),"")</f>
      </c>
      <c r="O22" s="32">
        <f>IF(OR(N22="",L22=""),"",(L22-N22)/N22)</f>
      </c>
    </row>
    <row r="23" spans="1:15" x14ac:dyDescent="0.25">
      <c r="A23" s="24" t="s">
        <v>119</v>
      </c>
      <c r="B23" s="25" t="s">
        <v>119</v>
      </c>
      <c r="C23" s="23" t="s">
        <v>119</v>
      </c>
      <c r="D23" s="26">
        <v>1880</v>
      </c>
      <c r="E23" s="27">
        <f>IF(OR(C23="",D23=""),"",C23*D23*PoPYears)</f>
      </c>
      <c r="F23" s="28" t="s">
        <v>119</v>
      </c>
      <c r="G23" s="29">
        <f>IF(F23="","",F23*(1+FringeRate))</f>
      </c>
      <c r="H23" s="29">
        <f>IF(G23="","",G23*(1+OHRate))</f>
      </c>
      <c r="I23" s="29">
        <f>IF(H23="","",H23*(1+GARate))</f>
      </c>
      <c r="J23" s="30">
        <f>IF(I23="","",I23)</f>
      </c>
      <c r="K23" s="31">
        <f>IF(OR(E23="",J23=""),"",E23*J23)</f>
      </c>
      <c r="L23" s="30">
        <f>IF(J23="","",J23*(1+FeeRate))</f>
      </c>
      <c r="M23" s="31">
        <f>IF(OR(E23="",L23=""),"",E23*L23)</f>
      </c>
      <c r="N23" s="18">
        <f>IFERROR(VLOOKUP(A23,BenchTable,4,FALSE),"")</f>
      </c>
      <c r="O23" s="32">
        <f>IF(OR(N23="",L23=""),"",(L23-N23)/N23)</f>
      </c>
    </row>
    <row r="24" spans="1:15" x14ac:dyDescent="0.25">
      <c r="A24" s="24" t="s">
        <v>119</v>
      </c>
      <c r="B24" s="25" t="s">
        <v>119</v>
      </c>
      <c r="C24" s="23" t="s">
        <v>119</v>
      </c>
      <c r="D24" s="26">
        <v>1880</v>
      </c>
      <c r="E24" s="27">
        <f>IF(OR(C24="",D24=""),"",C24*D24*PoPYears)</f>
      </c>
      <c r="F24" s="28" t="s">
        <v>119</v>
      </c>
      <c r="G24" s="29">
        <f>IF(F24="","",F24*(1+FringeRate))</f>
      </c>
      <c r="H24" s="29">
        <f>IF(G24="","",G24*(1+OHRate))</f>
      </c>
      <c r="I24" s="29">
        <f>IF(H24="","",H24*(1+GARate))</f>
      </c>
      <c r="J24" s="30">
        <f>IF(I24="","",I24)</f>
      </c>
      <c r="K24" s="31">
        <f>IF(OR(E24="",J24=""),"",E24*J24)</f>
      </c>
      <c r="L24" s="30">
        <f>IF(J24="","",J24*(1+FeeRate))</f>
      </c>
      <c r="M24" s="31">
        <f>IF(OR(E24="",L24=""),"",E24*L24)</f>
      </c>
      <c r="N24" s="18">
        <f>IFERROR(VLOOKUP(A24,BenchTable,4,FALSE),"")</f>
      </c>
      <c r="O24" s="32">
        <f>IF(OR(N24="",L24=""),"",(L24-N24)/N24)</f>
      </c>
    </row>
    <row r="25" spans="1:15" x14ac:dyDescent="0.25">
      <c r="A25" s="24" t="s">
        <v>119</v>
      </c>
      <c r="B25" s="25" t="s">
        <v>119</v>
      </c>
      <c r="C25" s="23" t="s">
        <v>119</v>
      </c>
      <c r="D25" s="26">
        <v>1880</v>
      </c>
      <c r="E25" s="27">
        <f>IF(OR(C25="",D25=""),"",C25*D25*PoPYears)</f>
      </c>
      <c r="F25" s="28" t="s">
        <v>119</v>
      </c>
      <c r="G25" s="29">
        <f>IF(F25="","",F25*(1+FringeRate))</f>
      </c>
      <c r="H25" s="29">
        <f>IF(G25="","",G25*(1+OHRate))</f>
      </c>
      <c r="I25" s="29">
        <f>IF(H25="","",H25*(1+GARate))</f>
      </c>
      <c r="J25" s="30">
        <f>IF(I25="","",I25)</f>
      </c>
      <c r="K25" s="31">
        <f>IF(OR(E25="",J25=""),"",E25*J25)</f>
      </c>
      <c r="L25" s="30">
        <f>IF(J25="","",J25*(1+FeeRate))</f>
      </c>
      <c r="M25" s="31">
        <f>IF(OR(E25="",L25=""),"",E25*L25)</f>
      </c>
      <c r="N25" s="18">
        <f>IFERROR(VLOOKUP(A25,BenchTable,4,FALSE),"")</f>
      </c>
      <c r="O25" s="32">
        <f>IF(OR(N25="",L25=""),"",(L25-N25)/N25)</f>
      </c>
    </row>
    <row r="26" spans="1:15" x14ac:dyDescent="0.25">
      <c r="A26" s="24" t="s">
        <v>119</v>
      </c>
      <c r="B26" s="25" t="s">
        <v>119</v>
      </c>
      <c r="C26" s="23" t="s">
        <v>119</v>
      </c>
      <c r="D26" s="26">
        <v>1880</v>
      </c>
      <c r="E26" s="27">
        <f>IF(OR(C26="",D26=""),"",C26*D26*PoPYears)</f>
      </c>
      <c r="F26" s="28" t="s">
        <v>119</v>
      </c>
      <c r="G26" s="29">
        <f>IF(F26="","",F26*(1+FringeRate))</f>
      </c>
      <c r="H26" s="29">
        <f>IF(G26="","",G26*(1+OHRate))</f>
      </c>
      <c r="I26" s="29">
        <f>IF(H26="","",H26*(1+GARate))</f>
      </c>
      <c r="J26" s="30">
        <f>IF(I26="","",I26)</f>
      </c>
      <c r="K26" s="31">
        <f>IF(OR(E26="",J26=""),"",E26*J26)</f>
      </c>
      <c r="L26" s="30">
        <f>IF(J26="","",J26*(1+FeeRate))</f>
      </c>
      <c r="M26" s="31">
        <f>IF(OR(E26="",L26=""),"",E26*L26)</f>
      </c>
      <c r="N26" s="18">
        <f>IFERROR(VLOOKUP(A26,BenchTable,4,FALSE),"")</f>
      </c>
      <c r="O26" s="32">
        <f>IF(OR(N26="",L26=""),"",(L26-N26)/N26)</f>
      </c>
    </row>
    <row r="27" spans="1:15" x14ac:dyDescent="0.25">
      <c r="A27" s="33" t="s">
        <v>120</v>
      </c>
      <c r="B27" s="33"/>
      <c r="C27" s="33"/>
      <c r="D27" s="33"/>
      <c r="E27" s="34">
        <f>SUM(E15:E26)</f>
      </c>
      <c r="F27" s="35" t="s">
        <v>119</v>
      </c>
      <c r="G27" s="35" t="s">
        <v>119</v>
      </c>
      <c r="H27" s="35" t="s">
        <v>119</v>
      </c>
      <c r="I27" s="35" t="s">
        <v>119</v>
      </c>
      <c r="J27" s="35" t="s">
        <v>119</v>
      </c>
      <c r="K27" s="36">
        <f>SUM(K15:K26)</f>
      </c>
      <c r="L27" s="35" t="s">
        <v>119</v>
      </c>
      <c r="M27" s="36">
        <f>SUM(M15:M26)</f>
      </c>
      <c r="N27" s="35" t="s">
        <v>119</v>
      </c>
      <c r="O27" s="35" t="s">
        <v>119</v>
      </c>
    </row>
    <row r="29" spans="1:15" x14ac:dyDescent="0.25">
      <c r="A29" s="3" t="s">
        <v>121</v>
      </c>
      <c r="B29"/>
      <c r="C29"/>
      <c r="D29"/>
      <c r="E29"/>
      <c r="F29"/>
      <c r="G29"/>
      <c r="H29"/>
      <c r="I29"/>
      <c r="J29"/>
      <c r="K29"/>
      <c r="L29"/>
      <c r="M29"/>
      <c r="N29"/>
      <c r="O29"/>
    </row>
    <row r="30" ht="24" customHeight="1" spans="1:15" x14ac:dyDescent="0.25">
      <c r="A30" s="15" t="s">
        <v>122</v>
      </c>
      <c r="B30" s="15" t="s">
        <v>123</v>
      </c>
      <c r="C30" s="15" t="s">
        <v>124</v>
      </c>
      <c r="D30" s="15" t="s">
        <v>125</v>
      </c>
      <c r="E30" s="15" t="s">
        <v>126</v>
      </c>
      <c r="F30" s="15" t="s">
        <v>127</v>
      </c>
      <c r="G30" s="15" t="s">
        <v>128</v>
      </c>
      <c r="H30" s="15" t="s">
        <v>129</v>
      </c>
      <c r="I30" s="15"/>
      <c r="J30" s="15"/>
      <c r="K30" s="15"/>
      <c r="L30" s="15"/>
      <c r="M30" s="15"/>
      <c r="N30" s="15"/>
      <c r="O30" s="15"/>
    </row>
    <row r="31" spans="1:8" x14ac:dyDescent="0.25">
      <c r="A31" s="24" t="s">
        <v>130</v>
      </c>
      <c r="B31" s="25" t="s">
        <v>131</v>
      </c>
      <c r="C31" s="26">
        <v>12</v>
      </c>
      <c r="D31" s="28">
        <v>1500</v>
      </c>
      <c r="E31" s="31">
        <f>IF(OR(C31="",D31=""),"",C31*D31)</f>
      </c>
      <c r="F31" s="25" t="s">
        <v>132</v>
      </c>
      <c r="G31" s="31">
        <f>IF(E31="","",IF(F31="Yes",E31*(1+GARate),E31))</f>
      </c>
      <c r="H31" s="37">
        <f>IF(G31="","",G31*(1+FeeRate))</f>
      </c>
    </row>
    <row r="32" spans="1:8" x14ac:dyDescent="0.25">
      <c r="A32" s="24" t="s">
        <v>133</v>
      </c>
      <c r="B32" s="25" t="s">
        <v>134</v>
      </c>
      <c r="C32" s="26">
        <v>1</v>
      </c>
      <c r="D32" s="28">
        <v>25000</v>
      </c>
      <c r="E32" s="31">
        <f>IF(OR(C32="",D32=""),"",C32*D32)</f>
      </c>
      <c r="F32" s="25" t="s">
        <v>132</v>
      </c>
      <c r="G32" s="31">
        <f>IF(E32="","",IF(F32="Yes",E32*(1+GARate),E32))</f>
      </c>
      <c r="H32" s="37">
        <f>IF(G32="","",G32*(1+FeeRate))</f>
      </c>
    </row>
    <row r="33" spans="1:8" x14ac:dyDescent="0.25">
      <c r="A33" s="24" t="s">
        <v>135</v>
      </c>
      <c r="B33" s="25" t="s">
        <v>136</v>
      </c>
      <c r="C33" s="26">
        <v>1</v>
      </c>
      <c r="D33" s="28">
        <v>180000</v>
      </c>
      <c r="E33" s="31">
        <f>IF(OR(C33="",D33=""),"",C33*D33)</f>
      </c>
      <c r="F33" s="25" t="s">
        <v>137</v>
      </c>
      <c r="G33" s="31">
        <f>IF(E33="","",IF(F33="Yes",E33*(1+GARate),E33))</f>
      </c>
      <c r="H33" s="37">
        <f>IF(G33="","",G33*(1+FeeRate))</f>
      </c>
    </row>
    <row r="34" spans="1:8" x14ac:dyDescent="0.25">
      <c r="A34" s="24" t="s">
        <v>119</v>
      </c>
      <c r="B34" s="25" t="s">
        <v>119</v>
      </c>
      <c r="C34" s="26" t="s">
        <v>119</v>
      </c>
      <c r="D34" s="28" t="s">
        <v>119</v>
      </c>
      <c r="E34" s="31">
        <f>IF(OR(C34="",D34=""),"",C34*D34)</f>
      </c>
      <c r="F34" s="25" t="s">
        <v>132</v>
      </c>
      <c r="G34" s="31">
        <f>IF(E34="","",IF(F34="Yes",E34*(1+GARate),E34))</f>
      </c>
      <c r="H34" s="37">
        <f>IF(G34="","",G34*(1+FeeRate))</f>
      </c>
    </row>
    <row r="35" spans="1:8" x14ac:dyDescent="0.25">
      <c r="A35" s="24" t="s">
        <v>119</v>
      </c>
      <c r="B35" s="25" t="s">
        <v>119</v>
      </c>
      <c r="C35" s="26" t="s">
        <v>119</v>
      </c>
      <c r="D35" s="28" t="s">
        <v>119</v>
      </c>
      <c r="E35" s="31">
        <f>IF(OR(C35="",D35=""),"",C35*D35)</f>
      </c>
      <c r="F35" s="25" t="s">
        <v>132</v>
      </c>
      <c r="G35" s="31">
        <f>IF(E35="","",IF(F35="Yes",E35*(1+GARate),E35))</f>
      </c>
      <c r="H35" s="37">
        <f>IF(G35="","",G35*(1+FeeRate))</f>
      </c>
    </row>
    <row r="36" spans="1:8" x14ac:dyDescent="0.25">
      <c r="A36" s="33" t="s">
        <v>138</v>
      </c>
      <c r="B36"/>
      <c r="C36"/>
      <c r="D36"/>
      <c r="E36"/>
      <c r="F36"/>
      <c r="G36" s="36">
        <f>SUM(G31:G35)</f>
      </c>
      <c r="H36" s="36">
        <f>SUM(H31:H35)</f>
      </c>
    </row>
    <row r="38" spans="1:15" x14ac:dyDescent="0.25">
      <c r="A38" s="3" t="s">
        <v>139</v>
      </c>
      <c r="B38"/>
      <c r="C38"/>
      <c r="D38"/>
      <c r="E38"/>
      <c r="F38"/>
      <c r="G38"/>
      <c r="H38"/>
      <c r="I38"/>
      <c r="J38"/>
      <c r="K38"/>
      <c r="L38"/>
      <c r="M38"/>
      <c r="N38"/>
      <c r="O38"/>
    </row>
    <row r="39" spans="1:7" x14ac:dyDescent="0.25">
      <c r="A39" s="13" t="s">
        <v>140</v>
      </c>
      <c r="B39"/>
      <c r="C39"/>
      <c r="D39"/>
      <c r="E39" s="36">
        <f>TotalLaborCost</f>
      </c>
      <c r="F39"/>
      <c r="G39"/>
    </row>
    <row r="40" spans="1:7" x14ac:dyDescent="0.25">
      <c r="A40" s="13" t="s">
        <v>141</v>
      </c>
      <c r="B40"/>
      <c r="C40"/>
      <c r="D40"/>
      <c r="E40" s="36">
        <f>TotalODCCost</f>
      </c>
      <c r="F40"/>
      <c r="G40"/>
    </row>
    <row r="41" spans="1:7" x14ac:dyDescent="0.25">
      <c r="A41" s="13" t="s">
        <v>128</v>
      </c>
      <c r="B41"/>
      <c r="C41"/>
      <c r="D41"/>
      <c r="E41" s="36">
        <f>TotalLaborCost+TotalODCCost</f>
      </c>
      <c r="F41"/>
      <c r="G41"/>
    </row>
    <row r="42" spans="1:7" x14ac:dyDescent="0.25">
      <c r="A42" s="13" t="s">
        <v>142</v>
      </c>
      <c r="B42"/>
      <c r="C42"/>
      <c r="D42"/>
      <c r="E42" s="36">
        <f>(TotalLaborCost+TotalODCCost)*FeeRate</f>
      </c>
      <c r="F42"/>
      <c r="G42"/>
    </row>
    <row r="43" spans="1:7" x14ac:dyDescent="0.25">
      <c r="A43" s="13" t="s">
        <v>143</v>
      </c>
      <c r="B43"/>
      <c r="C43"/>
      <c r="D43"/>
      <c r="E43" s="36">
        <f>TotalLaborRevenue+TotalODCRevenue</f>
      </c>
      <c r="F43"/>
      <c r="G43"/>
    </row>
    <row r="44" spans="1:7" x14ac:dyDescent="0.25">
      <c r="A44" s="13" t="s">
        <v>144</v>
      </c>
      <c r="B44"/>
      <c r="C44"/>
      <c r="D44"/>
      <c r="E44" s="38">
        <f>IF((TotalLaborRevenue+TotalODCRevenue)=0,0,((TotalLaborRevenue+TotalODCRevenue)-(TotalLaborCost+TotalODCCost))/(TotalLaborRevenue+TotalODCRevenue))</f>
      </c>
      <c r="F44"/>
      <c r="G44"/>
    </row>
  </sheetData>
  <mergeCells count="26">
    <mergeCell ref="A1:O1"/>
    <mergeCell ref="A2:O2"/>
    <mergeCell ref="A4:O4"/>
    <mergeCell ref="C5:F5"/>
    <mergeCell ref="C6:F6"/>
    <mergeCell ref="C7:F7"/>
    <mergeCell ref="C8:F8"/>
    <mergeCell ref="C9:F9"/>
    <mergeCell ref="C10:F10"/>
    <mergeCell ref="A13:O13"/>
    <mergeCell ref="A27:D27"/>
    <mergeCell ref="A29:O29"/>
    <mergeCell ref="A36:F36"/>
    <mergeCell ref="A38:O38"/>
    <mergeCell ref="A39:D39"/>
    <mergeCell ref="E39:G39"/>
    <mergeCell ref="A40:D40"/>
    <mergeCell ref="E40:G40"/>
    <mergeCell ref="A41:D41"/>
    <mergeCell ref="E41:G41"/>
    <mergeCell ref="A42:D42"/>
    <mergeCell ref="E42:G42"/>
    <mergeCell ref="A43:D43"/>
    <mergeCell ref="E43:G43"/>
    <mergeCell ref="A44:D44"/>
    <mergeCell ref="E44:G44"/>
  </mergeCells>
  <conditionalFormatting sqref="O15:O26">
    <cfRule type="cellIs" dxfId="0" priority="1" operator="greaterThan">
      <formula>0.2</formula>
    </cfRule>
    <cfRule type="cellIs" dxfId="1" priority="2" operator="lessThan">
      <formula>-0.2</formula>
    </cfRule>
    <cfRule type="cellIs" dxfId="2" priority="3" operator="between">
      <formula>-0.2</formula>
      <formula>0.2</formula>
    </cfRule>
  </conditionalFormatting>
  <conditionalFormatting sqref="B9">
    <cfRule type="cellIs" dxfId="3" priority="1" operator="greaterThan">
      <formula>2.5</formula>
    </cfRule>
    <cfRule type="cellIs" dxfId="4" priority="2" operator="between">
      <formula>1.7</formula>
      <formula>2.2</formula>
    </cfRule>
  </conditionalFormatting>
  <dataValidations count="3">
    <dataValidation type="list" allowBlank="1" showErrorMessage="1" errorStyle="warning" errorTitle="Clearance" error="Use one of the standard clearance levels" sqref="B15:B26">
      <formula1>"None,Public Trust,Secret,Top Secret,TS/SCI,TS/SCI w/ Poly"</formula1>
    </dataValidation>
    <dataValidation type="list" allowBlank="1" showErrorMessage="1" errorStyle="warning" errorTitle="ODC category" error="Pick a category" sqref="B31:B35">
      <formula1>"Materials,Travel,Sub,Equipment,Software,Other"</formula1>
    </dataValidation>
    <dataValidation type="list" allowBlank="1" showErrorMessage="1" errorStyle="warning" errorTitle="G&amp;A flag" error="Use Yes or No" sqref="F31:F35">
      <formula1>"Yes,No"</formula1>
    </dataValidation>
  </dataValidations>
  <pageMargins left="0.5" right="0.5" top="0.75" bottom="0.75" header="0.3" footer="0.3"/>
  <pageSetup orientation="portrait" horizontalDpi="4294967295" verticalDpi="4294967295" scale="100" fitToWidth="1" fitToHeight="0"/>
  <headerFooter>
    <oddHeader>&amp;L&amp;B&amp;"Calibri,Bold"&amp;12CapturePilot &amp;R&amp;"Calibri,Italic"&amp;10Price-to-Win Worksheet</oddHeader>
    <oddFooter>&amp;LFLK 08 — Price-to-Win&amp;C&amp;P of &amp;N&amp;Rcapturepilot.com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0B981"/>
    <pageSetUpPr fitToPage="1"/>
  </sheetPr>
  <dimension ref="A1:K17"/>
  <sheetViews>
    <sheetView workbookViewId="0" showGridLines="0">
      <pane ySplit="4" topLeftCell="A5" activePane="bottomLeft" state="frozen"/>
      <selection pane="bottomLeft"/>
    </sheetView>
  </sheetViews>
  <sheetFormatPr defaultRowHeight="15" outlineLevelRow="0" outlineLevelCol="0" x14ac:dyDescent="55"/>
  <cols>
    <col min="1" max="1" width="26" customWidth="1"/>
    <col min="2" max="2" width="10" customWidth="1"/>
    <col min="3" max="7" width="14" customWidth="1"/>
    <col min="8" max="8" width="16" customWidth="1"/>
    <col min="9" max="10" width="14" customWidth="1"/>
    <col min="11" max="11" width="30" customWidth="1"/>
  </cols>
  <sheetData>
    <row r="1" ht="28" customHeight="1" spans="1:11" x14ac:dyDescent="0.25">
      <c r="A1" s="1" t="s">
        <v>145</v>
      </c>
      <c r="B1"/>
      <c r="C1"/>
      <c r="D1"/>
      <c r="E1"/>
      <c r="F1"/>
      <c r="G1"/>
      <c r="H1"/>
      <c r="I1"/>
      <c r="J1"/>
      <c r="K1"/>
    </row>
    <row r="2" ht="44" customHeight="1" spans="1:11" x14ac:dyDescent="0.25">
      <c r="A2" s="2" t="s">
        <v>146</v>
      </c>
      <c r="B2"/>
      <c r="C2"/>
      <c r="D2"/>
      <c r="E2"/>
      <c r="F2"/>
      <c r="G2"/>
      <c r="H2"/>
      <c r="I2"/>
      <c r="J2"/>
      <c r="K2"/>
    </row>
    <row r="4" ht="30" customHeight="1" spans="1:11" x14ac:dyDescent="0.25">
      <c r="A4" s="15" t="s">
        <v>147</v>
      </c>
      <c r="B4" s="15" t="s">
        <v>148</v>
      </c>
      <c r="C4" s="15" t="s">
        <v>149</v>
      </c>
      <c r="D4" s="15" t="s">
        <v>150</v>
      </c>
      <c r="E4" s="15" t="s">
        <v>151</v>
      </c>
      <c r="F4" s="15" t="s">
        <v>152</v>
      </c>
      <c r="G4" s="15" t="s">
        <v>153</v>
      </c>
      <c r="H4" s="15" t="s">
        <v>154</v>
      </c>
      <c r="I4" s="15" t="s">
        <v>155</v>
      </c>
      <c r="J4" s="15" t="s">
        <v>156</v>
      </c>
      <c r="K4" s="15" t="s">
        <v>157</v>
      </c>
    </row>
    <row r="5" spans="1:11" x14ac:dyDescent="0.25">
      <c r="A5" s="24" t="s">
        <v>158</v>
      </c>
      <c r="B5" s="25" t="s">
        <v>159</v>
      </c>
      <c r="C5" s="25" t="s">
        <v>160</v>
      </c>
      <c r="D5" s="39">
        <v>2.35</v>
      </c>
      <c r="E5" s="19">
        <v>0.1</v>
      </c>
      <c r="F5" s="29">
        <f>IF(OR(D5="",E5=""),"",80*D5*(1+E5))</f>
      </c>
      <c r="G5" s="26">
        <v>50000</v>
      </c>
      <c r="H5" s="37">
        <f>IF(OR(F5="",G5=""),"",F5*G5)</f>
      </c>
      <c r="I5" s="23">
        <v>12</v>
      </c>
      <c r="J5" s="23">
        <v>5</v>
      </c>
      <c r="K5" s="40" t="s">
        <v>161</v>
      </c>
    </row>
    <row r="6" spans="1:11" x14ac:dyDescent="0.25">
      <c r="A6" s="24" t="s">
        <v>162</v>
      </c>
      <c r="B6" s="25" t="s">
        <v>159</v>
      </c>
      <c r="C6" s="25" t="s">
        <v>160</v>
      </c>
      <c r="D6" s="39">
        <v>2.28</v>
      </c>
      <c r="E6" s="19">
        <v>0.09</v>
      </c>
      <c r="F6" s="29">
        <f>IF(OR(D6="",E6=""),"",80*D6*(1+E6))</f>
      </c>
      <c r="G6" s="26">
        <v>50000</v>
      </c>
      <c r="H6" s="37">
        <f>IF(OR(F6="",G6=""),"",F6*G6)</f>
      </c>
      <c r="I6" s="23">
        <v>8</v>
      </c>
      <c r="J6" s="23">
        <v>4</v>
      </c>
      <c r="K6" s="40" t="s">
        <v>163</v>
      </c>
    </row>
    <row r="7" spans="1:11" x14ac:dyDescent="0.25">
      <c r="A7" s="24" t="s">
        <v>164</v>
      </c>
      <c r="B7" s="25" t="s">
        <v>165</v>
      </c>
      <c r="C7" s="25" t="s">
        <v>166</v>
      </c>
      <c r="D7" s="39">
        <v>1.85</v>
      </c>
      <c r="E7" s="19">
        <v>0.08</v>
      </c>
      <c r="F7" s="29">
        <f>IF(OR(D7="",E7=""),"",80*D7*(1+E7))</f>
      </c>
      <c r="G7" s="26">
        <v>50000</v>
      </c>
      <c r="H7" s="37">
        <f>IF(OR(F7="",G7=""),"",F7*G7)</f>
      </c>
      <c r="I7" s="23">
        <v>5</v>
      </c>
      <c r="J7" s="23">
        <v>4</v>
      </c>
      <c r="K7" s="40" t="s">
        <v>167</v>
      </c>
    </row>
    <row r="8" spans="1:11" x14ac:dyDescent="0.25">
      <c r="A8" s="24" t="s">
        <v>168</v>
      </c>
      <c r="B8" s="25" t="s">
        <v>165</v>
      </c>
      <c r="C8" s="25" t="s">
        <v>169</v>
      </c>
      <c r="D8" s="39">
        <v>1.92</v>
      </c>
      <c r="E8" s="19">
        <v>0.07</v>
      </c>
      <c r="F8" s="29">
        <f>IF(OR(D8="",E8=""),"",80*D8*(1+E8))</f>
      </c>
      <c r="G8" s="26">
        <v>50000</v>
      </c>
      <c r="H8" s="37">
        <f>IF(OR(F8="",G8=""),"",F8*G8)</f>
      </c>
      <c r="I8" s="23">
        <v>3</v>
      </c>
      <c r="J8" s="23">
        <v>3</v>
      </c>
      <c r="K8" s="40" t="s">
        <v>170</v>
      </c>
    </row>
    <row r="9" spans="1:11" x14ac:dyDescent="0.25">
      <c r="A9" s="24" t="s">
        <v>119</v>
      </c>
      <c r="B9" s="25" t="s">
        <v>119</v>
      </c>
      <c r="C9" s="25" t="s">
        <v>119</v>
      </c>
      <c r="D9" s="39" t="s">
        <v>119</v>
      </c>
      <c r="E9" s="19" t="s">
        <v>119</v>
      </c>
      <c r="F9" s="29">
        <f>IF(OR(D9="",E9=""),"",80*D9*(1+E9))</f>
      </c>
      <c r="G9" s="26" t="s">
        <v>119</v>
      </c>
      <c r="H9" s="37">
        <f>IF(OR(F9="",G9=""),"",F9*G9)</f>
      </c>
      <c r="I9" s="23" t="s">
        <v>119</v>
      </c>
      <c r="J9" s="23" t="s">
        <v>119</v>
      </c>
      <c r="K9" s="40" t="s">
        <v>119</v>
      </c>
    </row>
    <row r="11" spans="1:11" x14ac:dyDescent="0.25">
      <c r="A11" s="3" t="s">
        <v>171</v>
      </c>
      <c r="B11"/>
      <c r="C11"/>
      <c r="D11"/>
      <c r="E11"/>
      <c r="F11"/>
      <c r="G11"/>
      <c r="H11"/>
      <c r="I11"/>
      <c r="J11"/>
      <c r="K11"/>
    </row>
    <row r="12" spans="1:9" x14ac:dyDescent="0.25">
      <c r="A12" s="13" t="s">
        <v>172</v>
      </c>
      <c r="B12"/>
      <c r="C12"/>
      <c r="D12"/>
      <c r="E12"/>
      <c r="F12"/>
      <c r="G12"/>
      <c r="H12" s="37">
        <f>IFERROR(MIN(H5:H9),0)</f>
      </c>
      <c r="I12"/>
    </row>
    <row r="13" spans="1:9" x14ac:dyDescent="0.25">
      <c r="A13" s="13" t="s">
        <v>173</v>
      </c>
      <c r="B13"/>
      <c r="C13"/>
      <c r="D13"/>
      <c r="E13"/>
      <c r="F13"/>
      <c r="G13"/>
      <c r="H13" s="37">
        <f>IFERROR(MAX(H5:H9),0)</f>
      </c>
      <c r="I13"/>
    </row>
    <row r="14" spans="1:9" x14ac:dyDescent="0.25">
      <c r="A14" s="13" t="s">
        <v>174</v>
      </c>
      <c r="B14"/>
      <c r="C14"/>
      <c r="D14"/>
      <c r="E14"/>
      <c r="F14"/>
      <c r="G14"/>
      <c r="H14" s="37">
        <f>IFERROR(MEDIAN(H5:H9),0)</f>
      </c>
      <c r="I14"/>
    </row>
    <row r="15" spans="1:9" x14ac:dyDescent="0.25">
      <c r="A15" s="13" t="s">
        <v>175</v>
      </c>
      <c r="B15"/>
      <c r="C15"/>
      <c r="D15"/>
      <c r="E15"/>
      <c r="F15"/>
      <c r="G15"/>
      <c r="H15" s="37">
        <f>IFERROR(AVERAGE(H5:H9),0)</f>
      </c>
      <c r="I15"/>
    </row>
    <row r="16" spans="1:9" x14ac:dyDescent="0.25">
      <c r="A16" s="13" t="s">
        <v>176</v>
      </c>
      <c r="B16"/>
      <c r="C16"/>
      <c r="D16"/>
      <c r="E16"/>
      <c r="F16"/>
      <c r="G16"/>
      <c r="H16" s="21">
        <f>IFERROR(AVERAGE(D5:D9),0)</f>
      </c>
      <c r="I16"/>
    </row>
    <row r="17" spans="1:9" x14ac:dyDescent="0.25">
      <c r="A17" s="13" t="s">
        <v>177</v>
      </c>
      <c r="B17"/>
      <c r="C17"/>
      <c r="D17"/>
      <c r="E17"/>
      <c r="F17"/>
      <c r="G17"/>
      <c r="H17" s="41">
        <f>COUNTA(A5:A9)</f>
      </c>
      <c r="I17"/>
    </row>
  </sheetData>
  <mergeCells count="15">
    <mergeCell ref="A1:K1"/>
    <mergeCell ref="A2:K2"/>
    <mergeCell ref="A11:K11"/>
    <mergeCell ref="A12:G12"/>
    <mergeCell ref="H12:I12"/>
    <mergeCell ref="A13:G13"/>
    <mergeCell ref="H13:I13"/>
    <mergeCell ref="A14:G14"/>
    <mergeCell ref="H14:I14"/>
    <mergeCell ref="A15:G15"/>
    <mergeCell ref="H15:I15"/>
    <mergeCell ref="A16:G16"/>
    <mergeCell ref="H16:I16"/>
    <mergeCell ref="A17:G17"/>
    <mergeCell ref="H17:I17"/>
  </mergeCells>
  <dataValidations count="3">
    <dataValidation type="list" allowBlank="1" showErrorMessage="1" errorStyle="warning" sqref="B5:B9">
      <formula1>"Large,Small,Mid-Size,Unknown"</formula1>
    </dataValidation>
    <dataValidation type="list" allowBlank="1" showErrorMessage="1" errorStyle="warning" sqref="C5:C9">
      <formula1>"Full &amp; Open,Small Business,8(a),HUBZone,WOSB,EDWOSB,SDVOSB,VOSB"</formula1>
    </dataValidation>
    <dataValidation type="whole" showErrorMessage="1" errorStyle="warning" errorTitle="Threat" error="Threat score must be 1-5" sqref="J5:J9">
      <formula1>1</formula1>
      <formula2>5</formula2>
    </dataValidation>
  </dataValidations>
  <pageMargins left="0.5" right="0.5" top="0.75" bottom="0.75" header="0.3" footer="0.3"/>
  <pageSetup orientation="portrait" horizontalDpi="4294967295" verticalDpi="4294967295" scale="100" fitToWidth="1" fitToHeight="0"/>
  <headerFooter>
    <oddHeader>&amp;L&amp;B&amp;"Calibri,Bold"&amp;12CapturePilot &amp;R&amp;"Calibri,Italic"&amp;10Price-to-Win Worksheet</oddHeader>
    <oddFooter>&amp;LFLK 08 — Price-to-Win&amp;C&amp;P of &amp;N&amp;Rcapturepilot.com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pageSetUpPr fitToPage="1"/>
  </sheetPr>
  <dimension ref="A1:F35"/>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38" customWidth="1"/>
    <col min="3" max="5" width="22" customWidth="1"/>
    <col min="6" max="6" width="38" customWidth="1"/>
  </cols>
  <sheetData>
    <row r="1" ht="28" customHeight="1" spans="1:6" x14ac:dyDescent="0.25">
      <c r="A1" s="1" t="s">
        <v>178</v>
      </c>
      <c r="B1"/>
      <c r="C1"/>
      <c r="D1"/>
      <c r="E1"/>
      <c r="F1"/>
    </row>
    <row r="2" ht="36" customHeight="1" spans="1:6" x14ac:dyDescent="0.25">
      <c r="A2" s="2" t="s">
        <v>179</v>
      </c>
      <c r="B2"/>
      <c r="C2"/>
      <c r="D2"/>
      <c r="E2"/>
      <c r="F2"/>
    </row>
    <row r="4" spans="2:6" x14ac:dyDescent="0.25">
      <c r="B4" s="3" t="s">
        <v>180</v>
      </c>
      <c r="C4"/>
      <c r="D4"/>
      <c r="E4"/>
      <c r="F4"/>
    </row>
    <row r="5" spans="2:6" x14ac:dyDescent="0.25">
      <c r="B5" s="13" t="s">
        <v>181</v>
      </c>
      <c r="C5" s="25" t="s">
        <v>43</v>
      </c>
      <c r="D5" s="20" t="s">
        <v>182</v>
      </c>
      <c r="E5"/>
      <c r="F5"/>
    </row>
    <row r="6" spans="2:6" x14ac:dyDescent="0.25">
      <c r="B6" s="13" t="s">
        <v>183</v>
      </c>
      <c r="C6" s="23">
        <v>85</v>
      </c>
      <c r="D6" s="20" t="s">
        <v>184</v>
      </c>
      <c r="E6"/>
      <c r="F6"/>
    </row>
    <row r="7" spans="2:6" x14ac:dyDescent="0.25">
      <c r="B7" s="13" t="s">
        <v>185</v>
      </c>
      <c r="C7" s="23">
        <v>78</v>
      </c>
      <c r="D7" s="20" t="s">
        <v>186</v>
      </c>
      <c r="E7"/>
      <c r="F7"/>
    </row>
    <row r="8" spans="2:6" x14ac:dyDescent="0.25">
      <c r="B8" s="13" t="s">
        <v>187</v>
      </c>
      <c r="C8" s="19">
        <v>0.55</v>
      </c>
      <c r="D8" s="20" t="s">
        <v>188</v>
      </c>
      <c r="E8"/>
      <c r="F8"/>
    </row>
    <row r="9" spans="2:6" x14ac:dyDescent="0.25">
      <c r="B9" s="13" t="s">
        <v>189</v>
      </c>
      <c r="C9" s="19">
        <v>0.06</v>
      </c>
      <c r="D9" s="20" t="s">
        <v>190</v>
      </c>
      <c r="E9"/>
      <c r="F9"/>
    </row>
    <row r="10" spans="2:6" x14ac:dyDescent="0.25">
      <c r="B10" s="13" t="s">
        <v>191</v>
      </c>
      <c r="C10" s="19">
        <v>0.08</v>
      </c>
      <c r="D10" s="20" t="s">
        <v>192</v>
      </c>
      <c r="E10"/>
      <c r="F10"/>
    </row>
    <row r="11" spans="2:6" x14ac:dyDescent="0.25">
      <c r="B11" s="13" t="s">
        <v>193</v>
      </c>
      <c r="C11" s="19">
        <v>0.05</v>
      </c>
      <c r="D11" s="20" t="s">
        <v>194</v>
      </c>
      <c r="E11"/>
      <c r="F11"/>
    </row>
    <row r="13" spans="2:6" x14ac:dyDescent="0.25">
      <c r="B13" s="3" t="s">
        <v>195</v>
      </c>
      <c r="C13"/>
      <c r="D13"/>
      <c r="E13"/>
      <c r="F13"/>
    </row>
    <row r="14" ht="24" customHeight="1" spans="2:6" x14ac:dyDescent="0.25">
      <c r="B14" s="15" t="s">
        <v>196</v>
      </c>
      <c r="C14" s="15" t="s">
        <v>197</v>
      </c>
      <c r="D14" s="15" t="s">
        <v>198</v>
      </c>
      <c r="E14" s="15" t="s">
        <v>199</v>
      </c>
      <c r="F14" s="15" t="s">
        <v>200</v>
      </c>
    </row>
    <row r="15" ht="22" customHeight="1" spans="2:6" x14ac:dyDescent="0.25">
      <c r="B15" s="13" t="s">
        <v>201</v>
      </c>
      <c r="C15" s="37">
        <f>YourProposedPrice*(1-ConsDiscount)</f>
      </c>
      <c r="D15" s="37">
        <f>YourProposedPrice</f>
      </c>
      <c r="E15" s="37">
        <f>YourProposedPrice*(1+AggrPremium)</f>
      </c>
      <c r="F15" s="42" t="s">
        <v>202</v>
      </c>
    </row>
    <row r="16" ht="22" customHeight="1" spans="2:6" x14ac:dyDescent="0.25">
      <c r="B16" s="13" t="s">
        <v>203</v>
      </c>
      <c r="C16" s="43">
        <f>IF(CompMedian=0,"",(C15-CompMedian)/CompMedian)</f>
      </c>
      <c r="D16" s="43">
        <f>IF(CompMedian=0,"",(D15-CompMedian)/CompMedian)</f>
      </c>
      <c r="E16" s="43">
        <f>IF(CompMedian=0,"",(E15-CompMedian)/CompMedian)</f>
      </c>
      <c r="F16" s="42" t="s">
        <v>204</v>
      </c>
    </row>
    <row r="17" ht="22" customHeight="1" spans="2:6" x14ac:dyDescent="0.25">
      <c r="B17" s="13" t="s">
        <v>205</v>
      </c>
      <c r="C17" s="43">
        <f>IF(CompMin=0,"",(C15-CompMin)/CompMin)</f>
      </c>
      <c r="D17" s="43">
        <f>IF(CompMin=0,"",(D15-CompMin)/CompMin)</f>
      </c>
      <c r="E17" s="43">
        <f>IF(CompMin=0,"",(E15-CompMin)/CompMin)</f>
      </c>
      <c r="F17" s="42" t="s">
        <v>206</v>
      </c>
    </row>
    <row r="18" ht="22" customHeight="1" spans="2:6" x14ac:dyDescent="0.25">
      <c r="B18" s="13" t="s">
        <v>207</v>
      </c>
      <c r="C18" s="43">
        <f>IF(C15=0,0,(C15-YourTotalCost)/C15)</f>
      </c>
      <c r="D18" s="43">
        <f>IF(D15=0,0,(D15-YourTotalCost)/D15)</f>
      </c>
      <c r="E18" s="43">
        <f>IF(E15=0,0,(E15-YourTotalCost)/E15)</f>
      </c>
      <c r="F18" s="42" t="s">
        <v>208</v>
      </c>
    </row>
    <row r="19" ht="22" customHeight="1" spans="2:6" x14ac:dyDescent="0.25">
      <c r="B19" s="13" t="s">
        <v>209</v>
      </c>
      <c r="C19" s="37">
        <f>C15-YourTotalCost</f>
      </c>
      <c r="D19" s="37">
        <f>D15-YourTotalCost</f>
      </c>
      <c r="E19" s="37">
        <f>E15-YourTotalCost</f>
      </c>
      <c r="F19" s="42" t="s">
        <v>210</v>
      </c>
    </row>
    <row r="20" ht="22" customHeight="1" spans="2:6" x14ac:dyDescent="0.25">
      <c r="B20" s="13" t="s">
        <v>211</v>
      </c>
      <c r="C20" s="43">
        <f>MIN(0.95,MAX(0.05,TargetPWin+0.15+IF(EvalType="Best Value",(YourTechScore-CompTechScore)/200,0)))</f>
      </c>
      <c r="D20" s="43">
        <f>MIN(0.95,MAX(0.05,TargetPWin+IF(EvalType="Best Value",(YourTechScore-CompTechScore)/200,0)))</f>
      </c>
      <c r="E20" s="43">
        <f>MIN(0.95,MAX(0.05,TargetPWin-0.12+IF(EvalType="Best Value",(YourTechScore-CompTechScore)/100,0)))</f>
      </c>
      <c r="F20" s="42" t="s">
        <v>212</v>
      </c>
    </row>
    <row r="21" ht="22" customHeight="1" spans="2:6" x14ac:dyDescent="0.25">
      <c r="B21" s="13" t="s">
        <v>213</v>
      </c>
      <c r="C21" s="37">
        <f>(C15-YourTotalCost)*C20</f>
      </c>
      <c r="D21" s="37">
        <f>(D15-YourTotalCost)*D20</f>
      </c>
      <c r="E21" s="37">
        <f>(E15-YourTotalCost)*E20</f>
      </c>
      <c r="F21" s="42" t="s">
        <v>214</v>
      </c>
    </row>
    <row r="23" spans="2:6" x14ac:dyDescent="0.25">
      <c r="B23" s="3" t="s">
        <v>215</v>
      </c>
      <c r="C23"/>
      <c r="D23"/>
      <c r="E23"/>
      <c r="F23"/>
    </row>
    <row r="24" ht="28" customHeight="1" spans="2:5" x14ac:dyDescent="0.25">
      <c r="B24" s="13" t="s">
        <v>216</v>
      </c>
      <c r="C24" s="44">
        <f>IF(C21=MAX(C21:E21),"Conservative",IF(D21=MAX(C21:E21),"Base","Aggressive"))</f>
      </c>
      <c r="D24"/>
      <c r="E24"/>
    </row>
    <row r="25" ht="28" customHeight="1" spans="2:5" x14ac:dyDescent="0.25">
      <c r="B25" s="13" t="s">
        <v>217</v>
      </c>
      <c r="C25" s="45">
        <f>IF(C24="Conservative",C15,IF(C24="Base",D15,E15))</f>
      </c>
      <c r="D25"/>
      <c r="E25"/>
    </row>
    <row r="27" spans="2:6" x14ac:dyDescent="0.25">
      <c r="B27" s="3" t="s">
        <v>218</v>
      </c>
      <c r="C27"/>
      <c r="D27"/>
      <c r="E27"/>
      <c r="F27"/>
    </row>
    <row r="28" ht="22" customHeight="1" spans="2:6" x14ac:dyDescent="0.25">
      <c r="B28" s="13" t="s">
        <v>219</v>
      </c>
      <c r="C28"/>
      <c r="D28" s="46">
        <f>IF(WrapRate&gt;2.5,"FLAG — your wrap exceeds 2.50. Cut overhead before bidding.","OK")</f>
      </c>
      <c r="E28"/>
      <c r="F28"/>
    </row>
    <row r="29" ht="22" customHeight="1" spans="2:6" x14ac:dyDescent="0.25">
      <c r="B29" s="13" t="s">
        <v>220</v>
      </c>
      <c r="C29"/>
      <c r="D29" s="46">
        <f>IF(D18&lt;MinFee,"FLAG — base scenario violates your walk-away margin.","OK")</f>
      </c>
      <c r="E29"/>
      <c r="F29"/>
    </row>
    <row r="30" ht="22" customHeight="1" spans="2:6" x14ac:dyDescent="0.25">
      <c r="B30" s="13" t="s">
        <v>221</v>
      </c>
      <c r="C30"/>
      <c r="D30" s="46">
        <f>IF(CompMin=0,"No competitor data yet",IF((D15-CompMin)/CompMin&gt;0.2,"FLAG — you're 20%+ above lowest bidder. LPTA loss likely.","OK"))</f>
      </c>
      <c r="E30"/>
      <c r="F30"/>
    </row>
    <row r="31" ht="22" customHeight="1" spans="2:6" x14ac:dyDescent="0.25">
      <c r="B31" s="13" t="s">
        <v>222</v>
      </c>
      <c r="C31"/>
      <c r="D31" s="46">
        <f>IF(COUNTA('Competitor Analysis'!A5:A9)=0,"FLAG — fill out Competitor Analysis tab.","OK")</f>
      </c>
      <c r="E31"/>
      <c r="F31"/>
    </row>
    <row r="32" ht="22" customHeight="1" spans="2:6" x14ac:dyDescent="0.25">
      <c r="B32" s="13" t="s">
        <v>223</v>
      </c>
      <c r="C32"/>
      <c r="D32" s="46">
        <f>IF(COUNTIF('Cost Buildup'!O15:O26,"&gt;0.2")+COUNTIF('Cost Buildup'!O15:O26,"&lt;-0.2")&gt;0,"FLAG — at least one labor category is outside the bench band.","OK")</f>
      </c>
      <c r="E32"/>
      <c r="F32"/>
    </row>
    <row r="35" ht="40" customHeight="1" spans="2:6" x14ac:dyDescent="0.25">
      <c r="B35" s="47" t="s">
        <v>224</v>
      </c>
      <c r="C35"/>
      <c r="D35"/>
      <c r="E35"/>
      <c r="F35"/>
    </row>
  </sheetData>
  <mergeCells count="26">
    <mergeCell ref="A1:F1"/>
    <mergeCell ref="A2:F2"/>
    <mergeCell ref="B4:F4"/>
    <mergeCell ref="D5:F5"/>
    <mergeCell ref="D6:F6"/>
    <mergeCell ref="D7:F7"/>
    <mergeCell ref="D8:F8"/>
    <mergeCell ref="D9:F9"/>
    <mergeCell ref="D10:F10"/>
    <mergeCell ref="D11:F11"/>
    <mergeCell ref="B13:F13"/>
    <mergeCell ref="B23:F23"/>
    <mergeCell ref="C24:E24"/>
    <mergeCell ref="C25:E25"/>
    <mergeCell ref="B27:F27"/>
    <mergeCell ref="B28:C28"/>
    <mergeCell ref="D28:F28"/>
    <mergeCell ref="B29:C29"/>
    <mergeCell ref="D29:F29"/>
    <mergeCell ref="B30:C30"/>
    <mergeCell ref="D30:F30"/>
    <mergeCell ref="B31:C31"/>
    <mergeCell ref="D31:F31"/>
    <mergeCell ref="B32:C32"/>
    <mergeCell ref="D32:F32"/>
    <mergeCell ref="B35:F35"/>
  </mergeCells>
  <conditionalFormatting sqref="C18:E18">
    <cfRule type="cellIs" dxfId="5" priority="1" operator="lessThan">
      <formula>MinFee</formula>
    </cfRule>
    <cfRule type="cellIs" dxfId="6" priority="2" operator="greaterThanOrEqual">
      <formula>MinFee</formula>
    </cfRule>
  </conditionalFormatting>
  <conditionalFormatting sqref="C21:E21">
    <cfRule type="expression" dxfId="7" priority="1">
      <formula>C21=MAX($C$21:$E$21)</formula>
    </cfRule>
  </conditionalFormatting>
  <conditionalFormatting sqref="D28:F28">
    <cfRule type="containsText" dxfId="8" priority="1">
      <formula>NOT(ISERROR(SEARCH("FLAG",D28)))</formula>
    </cfRule>
    <cfRule type="containsText" dxfId="9" priority="2">
      <formula>NOT(ISERROR(SEARCH("OK",D28)))</formula>
    </cfRule>
  </conditionalFormatting>
  <conditionalFormatting sqref="D29:F29">
    <cfRule type="containsText" dxfId="10" priority="1">
      <formula>NOT(ISERROR(SEARCH("FLAG",D29)))</formula>
    </cfRule>
    <cfRule type="containsText" dxfId="11" priority="2">
      <formula>NOT(ISERROR(SEARCH("OK",D29)))</formula>
    </cfRule>
  </conditionalFormatting>
  <conditionalFormatting sqref="D30:F30">
    <cfRule type="containsText" dxfId="12" priority="1">
      <formula>NOT(ISERROR(SEARCH("FLAG",D30)))</formula>
    </cfRule>
    <cfRule type="containsText" dxfId="13" priority="2">
      <formula>NOT(ISERROR(SEARCH("OK",D30)))</formula>
    </cfRule>
  </conditionalFormatting>
  <conditionalFormatting sqref="D31:F31">
    <cfRule type="containsText" dxfId="14" priority="1">
      <formula>NOT(ISERROR(SEARCH("FLAG",D31)))</formula>
    </cfRule>
    <cfRule type="containsText" dxfId="15" priority="2">
      <formula>NOT(ISERROR(SEARCH("OK",D31)))</formula>
    </cfRule>
  </conditionalFormatting>
  <conditionalFormatting sqref="D32:F32">
    <cfRule type="containsText" dxfId="16" priority="1">
      <formula>NOT(ISERROR(SEARCH("FLAG",D32)))</formula>
    </cfRule>
    <cfRule type="containsText" dxfId="17" priority="2">
      <formula>NOT(ISERROR(SEARCH("OK",D32)))</formula>
    </cfRule>
  </conditionalFormatting>
  <dataValidations count="1">
    <dataValidation type="list" showErrorMessage="1" sqref="C5">
      <formula1>"LPTA,Best Value,Tradeoff"</formula1>
    </dataValidation>
  </dataValidations>
  <pageMargins left="0.5" right="0.5" top="0.75" bottom="0.75" header="0.3" footer="0.3"/>
  <pageSetup orientation="portrait" horizontalDpi="4294967295" verticalDpi="4294967295" scale="100" fitToWidth="1" fitToHeight="0"/>
  <headerFooter>
    <oddHeader>&amp;L&amp;B&amp;"Calibri,Bold"&amp;12CapturePilot &amp;R&amp;"Calibri,Italic"&amp;10Price-to-Win Worksheet</oddHeader>
    <oddFooter>&amp;LFLK 08 — Price-to-Win&amp;C&amp;P of &amp;N&amp;Rcapturepilot.com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Labor Benchmarks</vt:lpstr>
      <vt:lpstr>Cost Buildup</vt:lpstr>
      <vt:lpstr>Competitor Analysis</vt:lpstr>
      <vt:lpstr>Price-to-Win</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 — Federal Lead Kit</dc:creator>
  <dc:title>Price-to-Win Worksheet</dc:title>
  <dc:subject/>
  <dc:description/>
  <cp:keywords/>
  <cp:category/>
  <cp:lastModifiedBy>Unknown</cp:lastModifiedBy>
  <dcterms:created xsi:type="dcterms:W3CDTF">2026-06-05T21:28:16Z</dcterms:created>
  <dcterms:modified xsi:type="dcterms:W3CDTF">2026-06-05T21:28:16Z</dcterms:modified>
</cp:coreProperties>
</file>