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Calculator" state="visible" r:id="rId5"/>
    <sheet sheetId="3" name="Benchmarks" state="visible" r:id="rId6"/>
    <sheet sheetId="4" name="Pipeline" state="visible" r:id="rId7"/>
  </sheets>
  <definedNames>
    <definedName name="ContractValue">Calculator!$C$8</definedName>
    <definedName name="PWin">Calculator!$C$33</definedName>
  </definedNames>
  <calcPr calcId="171027"/>
</workbook>
</file>

<file path=xl/sharedStrings.xml><?xml version="1.0" encoding="utf-8"?>
<sst xmlns="http://schemas.openxmlformats.org/spreadsheetml/2006/main" count="262" uniqueCount="193">
  <si>
    <t>PWin Calculator — How to Use This Workbook</t>
  </si>
  <si>
    <t>WHAT THIS IS</t>
  </si>
  <si>
    <t>A weighted scoring model that estimates your probability of winning a federal contract. Twelve factors across five categories. You rate each one 0–100, the workbook does the math.</t>
  </si>
  <si>
    <t/>
  </si>
  <si>
    <t>WHEN TO USE IT</t>
  </si>
  <si>
    <t>Before you commit any Bid &amp; Proposal money. Capture managers use this at the gate review — usually six to twelve months before the RFP drops.</t>
  </si>
  <si>
    <t>HOW TO FILL IT OUT</t>
  </si>
  <si>
    <t>Open the 'Calculator' tab. Fill in the header (opportunity name, agency, contract value). Then go down the factor list and put a rating from 0 to 100 in column D. The contribution and total PWin update as you type.</t>
  </si>
  <si>
    <t>WHAT THE RATING MEANS</t>
  </si>
  <si>
    <t>0 = no advantage at all, no relationship, no past performance, no fit. 50 = average, you're competitive but not differentiated. 100 = clear winner on this factor (sole-source J&amp;A, perfect incumbent past performance, etc).</t>
  </si>
  <si>
    <t>PWin BANDS</t>
  </si>
  <si>
    <t>≥70% Strong (commit full capture resources). 50–69% Moderate (go if no better alternative). 30–49% Marginal (write a gap-closure plan first). &lt;30% Low (reconsider or pass).</t>
  </si>
  <si>
    <t>BENCHMARKS TAB</t>
  </si>
  <si>
    <t>Industry reference data — average win rates by company size, expected PWin boost from incumbent status, what factors move PWin the most. Use this to sanity-check your ratings.</t>
  </si>
  <si>
    <t>PIPELINE TAB</t>
  </si>
  <si>
    <t>Track every opportunity you've scored. Each row carries a PWin and Expected Value (contract value × PWin). The sum at the bottom is your weighted pipeline.</t>
  </si>
  <si>
    <t>EXAMPLE</t>
  </si>
  <si>
    <t>A janitorial firm scoring a $2.4M VA facilities contract. They're a HUBZone (set-aside benefit), no incumbent advantage, attended the industry day. Customer relationship 40, solution 60, competitive 30, past performance 70, price 60. PWin ≈ 51% — Moderate. Bid if no stronger pipeline; build relationships before next re-compete.</t>
  </si>
  <si>
    <t>IMPORTANT</t>
  </si>
  <si>
    <t>PWin is a planning tool, not a prediction. It forces you to be honest about gaps. A 25% PWin with a $5M contract still has $1.25M expected value — sometimes worth the B&amp;P investment, sometimes not.</t>
  </si>
  <si>
    <t>BUILT BY</t>
  </si>
  <si>
    <t>CapturePilot. Andre's German Navy Boarding Team background taught one lesson: never board a ship without knowing what's on it. Same for federal proposals — never write one without scoring it first.</t>
  </si>
  <si>
    <t>PWIN CALCULATOR — PROBABILITY OF WIN</t>
  </si>
  <si>
    <t>Score the opportunity before you commit B&amp;P money. Twelve factors, five categories, weighted total.</t>
  </si>
  <si>
    <t>Opportunity Name</t>
  </si>
  <si>
    <t>Incumbent?</t>
  </si>
  <si>
    <t>Agency / Office</t>
  </si>
  <si>
    <t># Competitors Est.</t>
  </si>
  <si>
    <t>Solicitation #</t>
  </si>
  <si>
    <t>Contract Type</t>
  </si>
  <si>
    <t>Set-Aside Type</t>
  </si>
  <si>
    <t>Vehicle / GSA</t>
  </si>
  <si>
    <t>Contract Value ($)</t>
  </si>
  <si>
    <t>Clearance Req?</t>
  </si>
  <si>
    <t>Proposal Due Date</t>
  </si>
  <si>
    <t>Teaming?</t>
  </si>
  <si>
    <t>Evaluated By</t>
  </si>
  <si>
    <t>Notes</t>
  </si>
  <si>
    <t>#</t>
  </si>
  <si>
    <t>PWin Factor</t>
  </si>
  <si>
    <t>Weight %</t>
  </si>
  <si>
    <t>Rating (0–100)</t>
  </si>
  <si>
    <t>Contribution</t>
  </si>
  <si>
    <t>Max</t>
  </si>
  <si>
    <t>CUSTOMER KNOWLEDGE &amp; RELATIONSHIPS</t>
  </si>
  <si>
    <t>Direct relationship with KO or program office</t>
  </si>
  <si>
    <t>Understand the customer's budget and priorities</t>
  </si>
  <si>
    <t>Attended pre-solicitation events or industry days</t>
  </si>
  <si>
    <t>SOLUTION STRENGTH</t>
  </si>
  <si>
    <t>Technical approach is developed and differentiated</t>
  </si>
  <si>
    <t>Approach solves the customer's core pain points</t>
  </si>
  <si>
    <t>Solution is compliant with all RFP requirements</t>
  </si>
  <si>
    <t>COMPETITIVE POSITIONING</t>
  </si>
  <si>
    <t>Number and strength of likely competitors</t>
  </si>
  <si>
    <t>We are the incumbent or favored team</t>
  </si>
  <si>
    <t>Set-aside type benefits us over competitors</t>
  </si>
  <si>
    <t>PAST PERFORMANCE &amp; QUALIFICATIONS</t>
  </si>
  <si>
    <t>Relevant past performance at similar scope or agency</t>
  </si>
  <si>
    <t>Key personnel match RFP requirements</t>
  </si>
  <si>
    <t>PRICE COMPETITIVENESS</t>
  </si>
  <si>
    <t>Our price is at or below the likely winning price</t>
  </si>
  <si>
    <t>TOTAL WEIGHTS (must = 100%)</t>
  </si>
  <si>
    <t>ESTIMATED PWIN</t>
  </si>
  <si>
    <t>EXPECTED VALUE (Contract × PWin)</t>
  </si>
  <si>
    <t>Expected value = contract value × your probability of win. Use this to size B&amp;P spend.</t>
  </si>
  <si>
    <t>BID &amp; PROPOSAL (B&amp;P) INVESTMENT ADVISORY</t>
  </si>
  <si>
    <t>B&amp;P Budget Estimate ($)</t>
  </si>
  <si>
    <t>B&amp;P as % of Contract Value</t>
  </si>
  <si>
    <t>B&amp;P as % of Expected Value</t>
  </si>
  <si>
    <t>Payback Check (EV must exceed B&amp;P)</t>
  </si>
  <si>
    <t>CapturePilot Federal Lead Kit  ·  captorpilot.com  ·  04 PWin Calculator</t>
  </si>
  <si>
    <t>PWIN BENCHMARKS — INDUSTRY THRESHOLDS</t>
  </si>
  <si>
    <t>Reference data for setting realistic win probability targets.</t>
  </si>
  <si>
    <t>SECTION 1 — PWIN BY CAPTURE STAGE</t>
  </si>
  <si>
    <t>Capture Stage</t>
  </si>
  <si>
    <t>Typical PWin</t>
  </si>
  <si>
    <t>Action Threshold</t>
  </si>
  <si>
    <t>What It Means</t>
  </si>
  <si>
    <t>Early capture (&gt;18 months out)</t>
  </si>
  <si>
    <t>5–20%</t>
  </si>
  <si>
    <t>Build relationship first</t>
  </si>
  <si>
    <t>Too early to commit resources. Intelligence gathering only.</t>
  </si>
  <si>
    <t>Pre-solicitation (6–18 months)</t>
  </si>
  <si>
    <t>20–45%</t>
  </si>
  <si>
    <t>Launch capture plan</t>
  </si>
  <si>
    <t>Enough time to move the needle. Assign a capture manager.</t>
  </si>
  <si>
    <t>Draft RFP stage (3–6 months)</t>
  </si>
  <si>
    <t>40–65%</t>
  </si>
  <si>
    <t>Commit B&amp;P budget</t>
  </si>
  <si>
    <t>Customer's requirements should shape your solution now.</t>
  </si>
  <si>
    <t>Final RFP released (&lt;3 months)</t>
  </si>
  <si>
    <t>55–80%</t>
  </si>
  <si>
    <t>All-hands proposal mode</t>
  </si>
  <si>
    <t>If PWin is below 40% at this stage, consider a no-bid.</t>
  </si>
  <si>
    <t>SECTION 2 — PWIN BY COMPETITIVE POSITION</t>
  </si>
  <si>
    <t>Competitive Position</t>
  </si>
  <si>
    <t>Expected Boost</t>
  </si>
  <si>
    <t>Key Driver</t>
  </si>
  <si>
    <t>Incumbent (strong performance)</t>
  </si>
  <si>
    <t>+25 to +35 pts</t>
  </si>
  <si>
    <t>Continuity risk</t>
  </si>
  <si>
    <t>Agencies avoid transition risk. Powerful advantage.</t>
  </si>
  <si>
    <t>Teaming with incumbent</t>
  </si>
  <si>
    <t>+10 to +20 pts</t>
  </si>
  <si>
    <t>Past performance halo</t>
  </si>
  <si>
    <t>Borrow credibility through teaming agreements.</t>
  </si>
  <si>
    <t>Known to KO/PM via industry day</t>
  </si>
  <si>
    <t>+5 to +15 pts</t>
  </si>
  <si>
    <t>Reduced uncertainty</t>
  </si>
  <si>
    <t>Familiar names score higher on past performance factors.</t>
  </si>
  <si>
    <t>Sole qualified firm (J&amp;A)</t>
  </si>
  <si>
    <t>+40 to +60 pts</t>
  </si>
  <si>
    <t>Limited competition</t>
  </si>
  <si>
    <t>Justification &amp; Approval sole-source. Near-certain win.</t>
  </si>
  <si>
    <t>One of 5+ unknown competitors</t>
  </si>
  <si>
    <t>-15 to -25 pts</t>
  </si>
  <si>
    <t>Diluted probability</t>
  </si>
  <si>
    <t>Undifferentiated field reduces your statistical share.</t>
  </si>
  <si>
    <t>Re-compete, no incumbent advantage</t>
  </si>
  <si>
    <t>Baseline</t>
  </si>
  <si>
    <t>Level playing field</t>
  </si>
  <si>
    <t>Start at 20% and build from there.</t>
  </si>
  <si>
    <t>SECTION 3 — INDUSTRY WIN RATE BENCHMARKS</t>
  </si>
  <si>
    <t>Company Type</t>
  </si>
  <si>
    <t>Avg Win Rate</t>
  </si>
  <si>
    <t>Target Win Rate</t>
  </si>
  <si>
    <t>Small business (under 5 years)</t>
  </si>
  <si>
    <t>15–25%</t>
  </si>
  <si>
    <t>≥30%</t>
  </si>
  <si>
    <t>Focus on set-asides, sole-source 8(a), strong past performance.</t>
  </si>
  <si>
    <t>Small business (established)</t>
  </si>
  <si>
    <t>25–40%</t>
  </si>
  <si>
    <t>≥35%</t>
  </si>
  <si>
    <t>Should be winning set-asides at 40%+ with good past performance.</t>
  </si>
  <si>
    <t>Mid-tier ($10M–$50M revenue)</t>
  </si>
  <si>
    <t>30–45%</t>
  </si>
  <si>
    <t>≥40%</t>
  </si>
  <si>
    <t>Volume is key. Bid more to win more at this stage.</t>
  </si>
  <si>
    <t>Large business (IDIQ focus)</t>
  </si>
  <si>
    <t>25–35%</t>
  </si>
  <si>
    <t>Task order competition reduces per-bid PWin.</t>
  </si>
  <si>
    <t>Proposal-only shops (no capture)</t>
  </si>
  <si>
    <t>10–20%</t>
  </si>
  <si>
    <t>Double it</t>
  </si>
  <si>
    <t>Capture investment before RFP release doubles win rate.</t>
  </si>
  <si>
    <t>SECTION 4 — FACTORS THAT MOVE PWIN MOST</t>
  </si>
  <si>
    <t>Factor</t>
  </si>
  <si>
    <t>PWin Impact</t>
  </si>
  <si>
    <t>Actionability</t>
  </si>
  <si>
    <t>How to Improve</t>
  </si>
  <si>
    <t>Customer relationships (KO/PM)</t>
  </si>
  <si>
    <t>HIGH (+20 to +30%)</t>
  </si>
  <si>
    <t>High</t>
  </si>
  <si>
    <t>Attend industry days, respond to RFIs, request one-on-ones.</t>
  </si>
  <si>
    <t>Incumbent status</t>
  </si>
  <si>
    <t>HIGH (+25 to +35%)</t>
  </si>
  <si>
    <t>Low</t>
  </si>
  <si>
    <t>Partner with incumbent or compete on price and innovation.</t>
  </si>
  <si>
    <t>Relevant past performance</t>
  </si>
  <si>
    <t>HIGH (+15 to +25%)</t>
  </si>
  <si>
    <t>Medium</t>
  </si>
  <si>
    <t>Document commercial work as federal past performance.</t>
  </si>
  <si>
    <t>Draft RFP shaping</t>
  </si>
  <si>
    <t>MED (+10 to +15%)</t>
  </si>
  <si>
    <t>Submit comments on draft RFPs and Sources Sought responses.</t>
  </si>
  <si>
    <t>Price position</t>
  </si>
  <si>
    <t>MED (+5 to +15%)</t>
  </si>
  <si>
    <t>Use labor rate benchmarks and indirect rate analysis.</t>
  </si>
  <si>
    <t>Set-aside alignment</t>
  </si>
  <si>
    <t>Maintain all eligible certifications on SAM.gov.</t>
  </si>
  <si>
    <t>Proposal quality</t>
  </si>
  <si>
    <t>LOW-MED (+3 to +8%)</t>
  </si>
  <si>
    <t>Pink and red teams plus experienced proposal writers.</t>
  </si>
  <si>
    <t>PIPELINE TRACKER — SCORED OPPORTUNITIES</t>
  </si>
  <si>
    <t>Agency</t>
  </si>
  <si>
    <t>Contract Value</t>
  </si>
  <si>
    <t>PWin %</t>
  </si>
  <si>
    <t>Expected Value</t>
  </si>
  <si>
    <t>Stage</t>
  </si>
  <si>
    <t>Due Date</t>
  </si>
  <si>
    <t>Decision</t>
  </si>
  <si>
    <t>VA Janitorial — Roanoke</t>
  </si>
  <si>
    <t>Dept. of Veterans Affairs</t>
  </si>
  <si>
    <t>VA-241-25-R-0012</t>
  </si>
  <si>
    <t>Pre-Sol</t>
  </si>
  <si>
    <t>BID</t>
  </si>
  <si>
    <t>Army Corps Levee Inspection</t>
  </si>
  <si>
    <t>USACE Mobile District</t>
  </si>
  <si>
    <t>W912EP-25-R-0007</t>
  </si>
  <si>
    <t>Sources Sought</t>
  </si>
  <si>
    <t>No-bid</t>
  </si>
  <si>
    <t>PIPELINE TOTALS</t>
  </si>
  <si>
    <t>Weighted pipeline value = sum of (Contract × PWin) across all rows.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</si>
</sst>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"/>
    <numFmt numFmtId="165" formatCode="mm/dd/yyyy"/>
    <numFmt numFmtId="166" formatCode="0.0%"/>
  </numFmts>
  <fonts count="21" x14ac:knownFonts="1">
    <font>
      <color theme="1"/>
      <family val="2"/>
      <scheme val="minor"/>
      <sz val="11"/>
      <name val="Calibri"/>
    </font>
    <font>
      <b/>
      <color rgb="FFFFFFFF"/>
      <sz val="18"/>
      <name val="Helvetica"/>
    </font>
    <font>
      <b/>
      <color rgb="FF047857"/>
      <sz val="11"/>
      <name val="Helvetica"/>
    </font>
    <font>
      <color rgb="FF0F172A"/>
      <sz val="11"/>
      <name val="Helvetica"/>
    </font>
    <font>
      <i/>
      <color rgb="FF0F172A"/>
      <sz val="11"/>
      <name val="Helvetica"/>
    </font>
    <font>
      <b/>
      <color rgb="FF0F172A"/>
      <sz val="11"/>
      <name val="Helvetica"/>
    </font>
    <font>
      <sz val="11"/>
      <name val="Helvetica"/>
    </font>
    <font>
      <b/>
      <color rgb="FFFFFFFF"/>
      <sz val="11"/>
      <name val="Helvetica"/>
    </font>
    <font>
      <color rgb="FF0F172A"/>
      <sz val="10"/>
      <name val="Helvetica"/>
    </font>
    <font>
      <color rgb="FF64748B"/>
      <sz val="10"/>
      <name val="Helvetica"/>
    </font>
    <font>
      <sz val="10"/>
      <name val="Helvetica"/>
    </font>
    <font>
      <b/>
      <sz val="12"/>
      <name val="Helvetica"/>
    </font>
    <font>
      <i/>
      <sz val="11"/>
      <name val="Helvetica"/>
    </font>
    <font>
      <b/>
      <color rgb="FFFFFFFF"/>
      <sz val="14"/>
      <name val="Helvetica"/>
    </font>
    <font>
      <b/>
      <color rgb="FFFFFFFF"/>
      <sz val="22"/>
      <name val="Helvetica"/>
    </font>
    <font>
      <b/>
      <color rgb="FFFFFFFF"/>
      <sz val="12"/>
      <name val="Helvetica"/>
    </font>
    <font>
      <b/>
      <color rgb="FF047857"/>
      <sz val="14"/>
      <name val="Helvetica"/>
    </font>
    <font>
      <i/>
      <color rgb="FF64748B"/>
      <sz val="10"/>
      <name val="Helvetica"/>
    </font>
    <font>
      <b/>
      <sz val="11"/>
      <name val="Helvetica"/>
    </font>
    <font>
      <i/>
      <color rgb="FF64748B"/>
      <sz val="9"/>
      <name val="Helvetica"/>
    </font>
    <font>
      <i/>
      <color rgb="FFFFFFFF"/>
      <sz val="10"/>
      <name val="Helvetica"/>
    </font>
  </fonts>
  <fills count="8">
    <fill>
      <patternFill patternType="none"/>
    </fill>
    <fill>
      <patternFill patternType="gray125"/>
    </fill>
    <fill>
      <patternFill patternType="solid">
        <fgColor rgb="FF047857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0F172A"/>
      </patternFill>
    </fill>
    <fill>
      <patternFill patternType="solid">
        <fgColor rgb="FF10B981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3" borderId="0" xfId="0" applyFont="1" applyFill="1" applyAlignment="1">
      <alignment horizontal="left" vertical="center" indent="1"/>
    </xf>
    <xf numFmtId="0" fontId="5" fillId="4" borderId="0" xfId="0" applyFont="1" applyFill="1" applyAlignment="1">
      <alignment vertical="center"/>
    </xf>
    <xf numFmtId="0" fontId="6" fillId="5" borderId="1" xfId="0" applyFont="1" applyFill="1" applyBorder="1" applyAlignment="1">
      <alignment vertical="center" indent="1"/>
    </xf>
    <xf numFmtId="164" fontId="6" fillId="5" borderId="1" xfId="0" applyNumberFormat="1" applyFont="1" applyFill="1" applyBorder="1" applyAlignment="1">
      <alignment vertical="center" indent="1"/>
    </xf>
    <xf numFmtId="165" fontId="6" fillId="5" borderId="1" xfId="0" applyNumberFormat="1" applyFont="1" applyFill="1" applyBorder="1" applyAlignment="1">
      <alignment vertical="center" indent="1"/>
    </xf>
    <xf numFmtId="0" fontId="7" fillId="6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 indent="1"/>
    </xf>
    <xf numFmtId="9" fontId="6" fillId="4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 indent="1"/>
    </xf>
    <xf numFmtId="0" fontId="5" fillId="3" borderId="0" xfId="0" applyFont="1" applyFill="1" applyAlignment="1">
      <alignment horizontal="right" vertical="center"/>
    </xf>
    <xf numFmtId="9" fontId="11" fillId="5" borderId="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 indent="1"/>
    </xf>
    <xf numFmtId="0" fontId="13" fillId="6" borderId="0" xfId="0" applyFont="1" applyFill="1" applyAlignment="1">
      <alignment horizontal="right" vertical="center" indent="1"/>
    </xf>
    <xf numFmtId="9" fontId="14" fillId="2" borderId="0" xfId="0" applyNumberFormat="1" applyFont="1" applyFill="1" applyAlignment="1">
      <alignment horizontal="center" vertical="center"/>
    </xf>
    <xf numFmtId="0" fontId="15" fillId="6" borderId="0" xfId="0" applyFont="1" applyFill="1" applyAlignment="1">
      <alignment horizontal="left" vertical="center" indent="1"/>
    </xf>
    <xf numFmtId="164" fontId="16" fillId="5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5" fillId="7" borderId="0" xfId="0" applyFont="1" applyFill="1" applyAlignment="1">
      <alignment horizontal="left" vertical="center" indent="1"/>
    </xf>
    <xf numFmtId="0" fontId="18" fillId="4" borderId="0" xfId="0" applyFont="1" applyFill="1" applyAlignment="1">
      <alignment vertical="center"/>
    </xf>
    <xf numFmtId="164" fontId="18" fillId="5" borderId="1" xfId="0" applyNumberFormat="1" applyFont="1" applyFill="1" applyBorder="1" applyAlignment="1">
      <alignment horizontal="center" vertical="center"/>
    </xf>
    <xf numFmtId="10" fontId="18" fillId="5" borderId="1" xfId="0" applyNumberFormat="1" applyFont="1" applyFill="1" applyBorder="1" applyAlignment="1">
      <alignment horizontal="center" vertical="center"/>
    </xf>
    <xf numFmtId="49" fontId="18" fillId="5" borderId="1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  <xf numFmtId="0" fontId="6" fillId="4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6" fillId="4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164" fontId="15" fillId="2" borderId="0" xfId="0" applyNumberFormat="1" applyFont="1" applyFill="1" applyAlignment="1">
      <alignment horizontal="center" vertical="center"/>
    </xf>
    <xf numFmtId="9" fontId="15" fillId="2" borderId="0" xfId="0" applyNumberFormat="1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45">
    <dxf>
      <font>
        <b/>
        <color rgb="FFFFFFFF"/>
      </font>
      <fill>
        <patternFill patternType="solid">
          <bgColor rgb="FF047857"/>
        </patternFill>
      </fill>
    </dxf>
    <dxf>
      <font>
        <b/>
        <color rgb="FFFFFFFF"/>
      </font>
      <fill>
        <patternFill patternType="solid">
          <bgColor rgb="FFF59E0B"/>
        </patternFill>
      </fill>
    </dxf>
    <dxf>
      <font>
        <b/>
        <color rgb="FFFFFFFF"/>
      </font>
      <fill>
        <patternFill patternType="solid">
          <bgColor rgb="FFFB923C"/>
        </patternFill>
      </fill>
    </dxf>
    <dxf>
      <font>
        <b/>
        <color rgb="FFFFFFFF"/>
      </font>
      <fill>
        <patternFill patternType="solid">
          <bgColor rgb="FFDC2626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ill>
        <patternFill patternType="solid">
          <bgColor rgb="FFD1FAE5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EE2E2"/>
        </patternFill>
      </fill>
    </dxf>
    <dxf>
      <font>
        <b/>
        <color rgb="FF047857"/>
      </font>
      <fill>
        <patternFill patternType="solid">
          <bgColor rgb="FFD1FAE5"/>
        </patternFill>
      </fill>
    </dxf>
    <dxf>
      <font>
        <b/>
        <color rgb="FFB45309"/>
      </font>
      <fill>
        <patternFill patternType="solid">
          <bgColor rgb="FFFEF3C7"/>
        </patternFill>
      </fill>
    </dxf>
    <dxf>
      <font>
        <b/>
        <color rgb="FFDC2626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47857"/>
    <pageSetUpPr fitToPage="1"/>
  </sheetPr>
  <dimension ref="A1:C2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6" customWidth="1"/>
    <col min="3" max="3" width="80" customWidth="1"/>
  </cols>
  <sheetData>
    <row r="1" ht="36" customHeight="1" spans="1:3" x14ac:dyDescent="0.25">
      <c r="A1" s="1" t="s">
        <v>0</v>
      </c>
      <c r="B1" s="1"/>
      <c r="C1" s="1"/>
    </row>
    <row r="3" ht="54" customHeight="1" spans="2:3" x14ac:dyDescent="0.25">
      <c r="B3" s="2" t="s">
        <v>1</v>
      </c>
      <c r="C3" s="3" t="s">
        <v>2</v>
      </c>
    </row>
    <row r="4" spans="2:3" x14ac:dyDescent="0.25">
      <c r="B4" s="2" t="s">
        <v>3</v>
      </c>
      <c r="C4" s="3" t="s">
        <v>3</v>
      </c>
    </row>
    <row r="5" ht="54" customHeight="1" spans="2:3" x14ac:dyDescent="0.25">
      <c r="B5" s="2" t="s">
        <v>4</v>
      </c>
      <c r="C5" s="3" t="s">
        <v>5</v>
      </c>
    </row>
    <row r="6" spans="2:3" x14ac:dyDescent="0.25">
      <c r="B6" s="2" t="s">
        <v>3</v>
      </c>
      <c r="C6" s="3" t="s">
        <v>3</v>
      </c>
    </row>
    <row r="7" ht="72" customHeight="1" spans="2:3" x14ac:dyDescent="0.25">
      <c r="B7" s="2" t="s">
        <v>6</v>
      </c>
      <c r="C7" s="3" t="s">
        <v>7</v>
      </c>
    </row>
    <row r="8" spans="2:3" x14ac:dyDescent="0.25">
      <c r="B8" s="2" t="s">
        <v>3</v>
      </c>
      <c r="C8" s="3" t="s">
        <v>3</v>
      </c>
    </row>
    <row r="9" ht="72" customHeight="1" spans="2:3" x14ac:dyDescent="0.25">
      <c r="B9" s="2" t="s">
        <v>8</v>
      </c>
      <c r="C9" s="3" t="s">
        <v>9</v>
      </c>
    </row>
    <row r="10" spans="2:3" x14ac:dyDescent="0.25">
      <c r="B10" s="2" t="s">
        <v>3</v>
      </c>
      <c r="C10" s="3" t="s">
        <v>3</v>
      </c>
    </row>
    <row r="11" ht="54" customHeight="1" spans="2:3" x14ac:dyDescent="0.25">
      <c r="B11" s="2" t="s">
        <v>10</v>
      </c>
      <c r="C11" s="3" t="s">
        <v>11</v>
      </c>
    </row>
    <row r="12" spans="2:3" x14ac:dyDescent="0.25">
      <c r="B12" s="2" t="s">
        <v>3</v>
      </c>
      <c r="C12" s="3" t="s">
        <v>3</v>
      </c>
    </row>
    <row r="13" ht="54" customHeight="1" spans="2:3" x14ac:dyDescent="0.25">
      <c r="B13" s="2" t="s">
        <v>12</v>
      </c>
      <c r="C13" s="3" t="s">
        <v>13</v>
      </c>
    </row>
    <row r="14" spans="2:3" x14ac:dyDescent="0.25">
      <c r="B14" s="2" t="s">
        <v>3</v>
      </c>
      <c r="C14" s="3" t="s">
        <v>3</v>
      </c>
    </row>
    <row r="15" ht="54" customHeight="1" spans="2:3" x14ac:dyDescent="0.25">
      <c r="B15" s="2" t="s">
        <v>14</v>
      </c>
      <c r="C15" s="3" t="s">
        <v>15</v>
      </c>
    </row>
    <row r="16" spans="2:3" x14ac:dyDescent="0.25">
      <c r="B16" s="2" t="s">
        <v>3</v>
      </c>
      <c r="C16" s="3" t="s">
        <v>3</v>
      </c>
    </row>
    <row r="17" ht="90" customHeight="1" spans="2:3" x14ac:dyDescent="0.25">
      <c r="B17" s="2" t="s">
        <v>16</v>
      </c>
      <c r="C17" s="3" t="s">
        <v>17</v>
      </c>
    </row>
    <row r="18" spans="2:3" x14ac:dyDescent="0.25">
      <c r="B18" s="2" t="s">
        <v>3</v>
      </c>
      <c r="C18" s="3" t="s">
        <v>3</v>
      </c>
    </row>
    <row r="19" ht="54" customHeight="1" spans="2:3" x14ac:dyDescent="0.25">
      <c r="B19" s="2" t="s">
        <v>18</v>
      </c>
      <c r="C19" s="3" t="s">
        <v>19</v>
      </c>
    </row>
    <row r="20" spans="2:3" x14ac:dyDescent="0.25">
      <c r="B20" s="2" t="s">
        <v>3</v>
      </c>
      <c r="C20" s="3" t="s">
        <v>3</v>
      </c>
    </row>
    <row r="21" ht="54" customHeight="1" spans="2:3" x14ac:dyDescent="0.25">
      <c r="B21" s="2" t="s">
        <v>20</v>
      </c>
      <c r="C21" s="3" t="s">
        <v>21</v>
      </c>
    </row>
  </sheetData>
  <mergeCells count="1">
    <mergeCell ref="A1:C1"/>
  </mergeCells>
  <pageMargins left="0.5" right="0.5" top="0.75" bottom="0.75" header="0.3" footer="0.3"/>
  <pageSetup orientation="portrait" horizontalDpi="4294967295" verticalDpi="4294967295" scale="100" fitToWidth="1" fitToHeight="0"/>
  <headerFooter>
    <oddHeader>&amp;L&amp;"Helvetica,Bold"&amp;14PWin Calculator&amp;R&amp;D</oddHeader>
    <oddFooter>&amp;LCapturePilot Federal Lead Kit&amp;Ccaptorpilot.com&amp;R04 — PWin Calculator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G43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38" customWidth="1"/>
    <col min="3" max="3" width="12" customWidth="1"/>
    <col min="4" max="5" width="14" customWidth="1"/>
    <col min="6" max="6" width="10" customWidth="1"/>
    <col min="7" max="7" width="30" customWidth="1"/>
  </cols>
  <sheetData>
    <row r="1" ht="36" customHeight="1" spans="1:7" x14ac:dyDescent="0.25">
      <c r="A1" s="1" t="s">
        <v>22</v>
      </c>
      <c r="B1" s="1"/>
      <c r="C1" s="1"/>
      <c r="D1" s="1"/>
      <c r="E1" s="1"/>
      <c r="F1" s="1"/>
      <c r="G1" s="1"/>
    </row>
    <row r="2" ht="22" customHeight="1" spans="1:7" x14ac:dyDescent="0.25">
      <c r="A2" s="4" t="s">
        <v>23</v>
      </c>
      <c r="B2" s="4"/>
      <c r="C2" s="4"/>
      <c r="D2" s="4"/>
      <c r="E2" s="4"/>
      <c r="F2" s="4"/>
      <c r="G2" s="4"/>
    </row>
    <row r="3" ht="6" customHeight="1" x14ac:dyDescent="0.25"/>
    <row r="4" ht="22" customHeight="1" spans="2:7" x14ac:dyDescent="0.25">
      <c r="B4" s="5" t="s">
        <v>24</v>
      </c>
      <c r="C4" s="6" t="s">
        <v>3</v>
      </c>
      <c r="D4" s="6"/>
      <c r="E4" s="5" t="s">
        <v>25</v>
      </c>
      <c r="F4" s="6" t="s">
        <v>3</v>
      </c>
      <c r="G4" s="6"/>
    </row>
    <row r="5" ht="22" customHeight="1" spans="2:7" x14ac:dyDescent="0.25">
      <c r="B5" s="5" t="s">
        <v>26</v>
      </c>
      <c r="C5" s="6" t="s">
        <v>3</v>
      </c>
      <c r="D5" s="6"/>
      <c r="E5" s="5" t="s">
        <v>27</v>
      </c>
      <c r="F5" s="6" t="s">
        <v>3</v>
      </c>
      <c r="G5" s="6"/>
    </row>
    <row r="6" ht="22" customHeight="1" spans="2:7" x14ac:dyDescent="0.25">
      <c r="B6" s="5" t="s">
        <v>28</v>
      </c>
      <c r="C6" s="6" t="s">
        <v>3</v>
      </c>
      <c r="D6" s="6"/>
      <c r="E6" s="5" t="s">
        <v>29</v>
      </c>
      <c r="F6" s="6" t="s">
        <v>3</v>
      </c>
      <c r="G6" s="6"/>
    </row>
    <row r="7" ht="22" customHeight="1" spans="2:7" x14ac:dyDescent="0.25">
      <c r="B7" s="5" t="s">
        <v>30</v>
      </c>
      <c r="C7" s="6" t="s">
        <v>3</v>
      </c>
      <c r="D7" s="6"/>
      <c r="E7" s="5" t="s">
        <v>31</v>
      </c>
      <c r="F7" s="6" t="s">
        <v>3</v>
      </c>
      <c r="G7" s="6"/>
    </row>
    <row r="8" ht="22" customHeight="1" spans="2:7" x14ac:dyDescent="0.25">
      <c r="B8" s="5" t="s">
        <v>32</v>
      </c>
      <c r="C8" s="7" t="s">
        <v>3</v>
      </c>
      <c r="D8" s="7"/>
      <c r="E8" s="5" t="s">
        <v>33</v>
      </c>
      <c r="F8" s="6" t="s">
        <v>3</v>
      </c>
      <c r="G8" s="6"/>
    </row>
    <row r="9" ht="22" customHeight="1" spans="2:7" x14ac:dyDescent="0.25">
      <c r="B9" s="5" t="s">
        <v>34</v>
      </c>
      <c r="C9" s="8" t="s">
        <v>3</v>
      </c>
      <c r="D9" s="8"/>
      <c r="E9" s="5" t="s">
        <v>35</v>
      </c>
      <c r="F9" s="6" t="s">
        <v>3</v>
      </c>
      <c r="G9" s="6"/>
    </row>
    <row r="10" ht="22" customHeight="1" spans="2:7" x14ac:dyDescent="0.25">
      <c r="B10" s="5" t="s">
        <v>36</v>
      </c>
      <c r="C10" s="6" t="s">
        <v>3</v>
      </c>
      <c r="D10" s="6"/>
      <c r="E10" s="5" t="s">
        <v>37</v>
      </c>
      <c r="F10" s="6" t="s">
        <v>3</v>
      </c>
      <c r="G10" s="6"/>
    </row>
    <row r="11" ht="8" customHeight="1" x14ac:dyDescent="0.25"/>
    <row r="12" ht="34" customHeight="1" spans="1:7" x14ac:dyDescent="0.25">
      <c r="A12" s="9" t="s">
        <v>38</v>
      </c>
      <c r="B12" s="9" t="s">
        <v>39</v>
      </c>
      <c r="C12" s="9" t="s">
        <v>40</v>
      </c>
      <c r="D12" s="9" t="s">
        <v>41</v>
      </c>
      <c r="E12" s="9" t="s">
        <v>42</v>
      </c>
      <c r="F12" s="9" t="s">
        <v>43</v>
      </c>
      <c r="G12" s="9" t="s">
        <v>37</v>
      </c>
    </row>
    <row r="13" ht="22" customHeight="1" spans="1:7" x14ac:dyDescent="0.25">
      <c r="A13" s="10" t="s">
        <v>44</v>
      </c>
      <c r="B13" s="10"/>
      <c r="C13" s="10"/>
      <c r="D13" s="10"/>
      <c r="E13" s="10"/>
      <c r="F13" s="10"/>
      <c r="G13" s="10"/>
    </row>
    <row r="14" ht="22" customHeight="1" spans="1:7" x14ac:dyDescent="0.25">
      <c r="A14" s="11">
        <v>1</v>
      </c>
      <c r="B14" s="12" t="s">
        <v>45</v>
      </c>
      <c r="C14" s="13">
        <v>0.15</v>
      </c>
      <c r="D14" s="14"/>
      <c r="E14" s="15">
        <f>IF(D14="","",C14*D14/100)</f>
      </c>
      <c r="F14" s="16">
        <f>C14</f>
      </c>
      <c r="G14" s="17"/>
    </row>
    <row r="15" ht="22" customHeight="1" spans="1:7" x14ac:dyDescent="0.25">
      <c r="A15" s="11">
        <v>2</v>
      </c>
      <c r="B15" s="12" t="s">
        <v>46</v>
      </c>
      <c r="C15" s="13">
        <v>0.1</v>
      </c>
      <c r="D15" s="14"/>
      <c r="E15" s="15">
        <f>IF(D15="","",C15*D15/100)</f>
      </c>
      <c r="F15" s="16">
        <f>C15</f>
      </c>
      <c r="G15" s="17"/>
    </row>
    <row r="16" ht="22" customHeight="1" spans="1:7" x14ac:dyDescent="0.25">
      <c r="A16" s="11">
        <v>3</v>
      </c>
      <c r="B16" s="12" t="s">
        <v>47</v>
      </c>
      <c r="C16" s="13">
        <v>0.05</v>
      </c>
      <c r="D16" s="14"/>
      <c r="E16" s="15">
        <f>IF(D16="","",C16*D16/100)</f>
      </c>
      <c r="F16" s="16">
        <f>C16</f>
      </c>
      <c r="G16" s="17"/>
    </row>
    <row r="17" ht="22" customHeight="1" spans="1:7" x14ac:dyDescent="0.25">
      <c r="A17" s="10" t="s">
        <v>48</v>
      </c>
      <c r="B17" s="10"/>
      <c r="C17" s="10"/>
      <c r="D17" s="10"/>
      <c r="E17" s="10"/>
      <c r="F17" s="10"/>
      <c r="G17" s="10"/>
    </row>
    <row r="18" ht="22" customHeight="1" spans="1:7" x14ac:dyDescent="0.25">
      <c r="A18" s="11">
        <v>4</v>
      </c>
      <c r="B18" s="12" t="s">
        <v>49</v>
      </c>
      <c r="C18" s="13">
        <v>0.12</v>
      </c>
      <c r="D18" s="14"/>
      <c r="E18" s="15">
        <f>IF(D18="","",C18*D18/100)</f>
      </c>
      <c r="F18" s="16">
        <f>C18</f>
      </c>
      <c r="G18" s="17"/>
    </row>
    <row r="19" ht="22" customHeight="1" spans="1:7" x14ac:dyDescent="0.25">
      <c r="A19" s="11">
        <v>5</v>
      </c>
      <c r="B19" s="12" t="s">
        <v>50</v>
      </c>
      <c r="C19" s="13">
        <v>0.1</v>
      </c>
      <c r="D19" s="14"/>
      <c r="E19" s="15">
        <f>IF(D19="","",C19*D19/100)</f>
      </c>
      <c r="F19" s="16">
        <f>C19</f>
      </c>
      <c r="G19" s="17"/>
    </row>
    <row r="20" ht="22" customHeight="1" spans="1:7" x14ac:dyDescent="0.25">
      <c r="A20" s="11">
        <v>6</v>
      </c>
      <c r="B20" s="12" t="s">
        <v>51</v>
      </c>
      <c r="C20" s="13">
        <v>0.08</v>
      </c>
      <c r="D20" s="14"/>
      <c r="E20" s="15">
        <f>IF(D20="","",C20*D20/100)</f>
      </c>
      <c r="F20" s="16">
        <f>C20</f>
      </c>
      <c r="G20" s="17"/>
    </row>
    <row r="21" ht="22" customHeight="1" spans="1:7" x14ac:dyDescent="0.25">
      <c r="A21" s="10" t="s">
        <v>52</v>
      </c>
      <c r="B21" s="10"/>
      <c r="C21" s="10"/>
      <c r="D21" s="10"/>
      <c r="E21" s="10"/>
      <c r="F21" s="10"/>
      <c r="G21" s="10"/>
    </row>
    <row r="22" ht="22" customHeight="1" spans="1:7" x14ac:dyDescent="0.25">
      <c r="A22" s="11">
        <v>7</v>
      </c>
      <c r="B22" s="12" t="s">
        <v>53</v>
      </c>
      <c r="C22" s="13">
        <v>0.08</v>
      </c>
      <c r="D22" s="14"/>
      <c r="E22" s="15">
        <f>IF(D22="","",C22*D22/100)</f>
      </c>
      <c r="F22" s="16">
        <f>C22</f>
      </c>
      <c r="G22" s="17"/>
    </row>
    <row r="23" ht="22" customHeight="1" spans="1:7" x14ac:dyDescent="0.25">
      <c r="A23" s="11">
        <v>8</v>
      </c>
      <c r="B23" s="12" t="s">
        <v>54</v>
      </c>
      <c r="C23" s="13">
        <v>0.08</v>
      </c>
      <c r="D23" s="14"/>
      <c r="E23" s="15">
        <f>IF(D23="","",C23*D23/100)</f>
      </c>
      <c r="F23" s="16">
        <f>C23</f>
      </c>
      <c r="G23" s="17"/>
    </row>
    <row r="24" ht="22" customHeight="1" spans="1:7" x14ac:dyDescent="0.25">
      <c r="A24" s="11">
        <v>9</v>
      </c>
      <c r="B24" s="12" t="s">
        <v>55</v>
      </c>
      <c r="C24" s="13">
        <v>0.04</v>
      </c>
      <c r="D24" s="14"/>
      <c r="E24" s="15">
        <f>IF(D24="","",C24*D24/100)</f>
      </c>
      <c r="F24" s="16">
        <f>C24</f>
      </c>
      <c r="G24" s="17"/>
    </row>
    <row r="25" ht="22" customHeight="1" spans="1:7" x14ac:dyDescent="0.25">
      <c r="A25" s="10" t="s">
        <v>56</v>
      </c>
      <c r="B25" s="10"/>
      <c r="C25" s="10"/>
      <c r="D25" s="10"/>
      <c r="E25" s="10"/>
      <c r="F25" s="10"/>
      <c r="G25" s="10"/>
    </row>
    <row r="26" ht="22" customHeight="1" spans="1:7" x14ac:dyDescent="0.25">
      <c r="A26" s="11">
        <v>10</v>
      </c>
      <c r="B26" s="12" t="s">
        <v>57</v>
      </c>
      <c r="C26" s="13">
        <v>0.1</v>
      </c>
      <c r="D26" s="14"/>
      <c r="E26" s="15">
        <f>IF(D26="","",C26*D26/100)</f>
      </c>
      <c r="F26" s="16">
        <f>C26</f>
      </c>
      <c r="G26" s="17"/>
    </row>
    <row r="27" ht="22" customHeight="1" spans="1:7" x14ac:dyDescent="0.25">
      <c r="A27" s="11">
        <v>11</v>
      </c>
      <c r="B27" s="12" t="s">
        <v>58</v>
      </c>
      <c r="C27" s="13">
        <v>0.05</v>
      </c>
      <c r="D27" s="14"/>
      <c r="E27" s="15">
        <f>IF(D27="","",C27*D27/100)</f>
      </c>
      <c r="F27" s="16">
        <f>C27</f>
      </c>
      <c r="G27" s="17"/>
    </row>
    <row r="28" ht="22" customHeight="1" spans="1:7" x14ac:dyDescent="0.25">
      <c r="A28" s="10" t="s">
        <v>59</v>
      </c>
      <c r="B28" s="10"/>
      <c r="C28" s="10"/>
      <c r="D28" s="10"/>
      <c r="E28" s="10"/>
      <c r="F28" s="10"/>
      <c r="G28" s="10"/>
    </row>
    <row r="29" ht="22" customHeight="1" spans="1:7" x14ac:dyDescent="0.25">
      <c r="A29" s="11">
        <v>12</v>
      </c>
      <c r="B29" s="12" t="s">
        <v>60</v>
      </c>
      <c r="C29" s="13">
        <v>0.05</v>
      </c>
      <c r="D29" s="14"/>
      <c r="E29" s="15">
        <f>IF(D29="","",C29*D29/100)</f>
      </c>
      <c r="F29" s="16">
        <f>C29</f>
      </c>
      <c r="G29" s="17"/>
    </row>
    <row r="30" ht="8" customHeight="1" x14ac:dyDescent="0.25"/>
    <row r="31" ht="24" customHeight="1" spans="1:7" x14ac:dyDescent="0.25">
      <c r="A31" s="18" t="s">
        <v>61</v>
      </c>
      <c r="B31" s="18"/>
      <c r="C31" s="19">
        <f>SUM(C14,C15,C16,C18,C19,C20,C22,C23,C24,C26,C27,C29)</f>
      </c>
      <c r="D31" s="20">
        <f>IF(ABS(SUM(C14,C15,C16,C18,C19,C20,C22,C23,C24,C26,C27,C29)-1)&lt;0.001,"OK — Weights sum to 100%","Adjust column C — weights must sum to 100%")</f>
      </c>
      <c r="E31" s="20"/>
      <c r="F31" s="20"/>
      <c r="G31" s="20"/>
    </row>
    <row r="33" ht="44" customHeight="1" spans="1:7" x14ac:dyDescent="0.25">
      <c r="A33" s="21" t="s">
        <v>62</v>
      </c>
      <c r="B33" s="21"/>
      <c r="C33" s="22">
        <f>IFERROR(SUMPRODUCT(C14:C29,D14:D29)/100,0)</f>
      </c>
      <c r="D33" s="22"/>
      <c r="E33" s="23">
        <f>IF(C33&gt;=0.7,"STRONG — Commit full capture resources",IF(C33&gt;=0.5,"MODERATE — Go if no better alternative",IF(C33&gt;=0.3,"MARGINAL — Requires gap closure plan","LOW — Reconsider or pass")))</f>
      </c>
      <c r="F33" s="23"/>
      <c r="G33" s="23"/>
    </row>
    <row r="34" ht="26" customHeight="1" spans="1:7" x14ac:dyDescent="0.25">
      <c r="A34" s="18" t="s">
        <v>63</v>
      </c>
      <c r="B34" s="18"/>
      <c r="C34" s="24">
        <f>IFERROR(ContractValue*PWin,0)</f>
      </c>
      <c r="D34" s="24"/>
      <c r="E34" s="25" t="s">
        <v>64</v>
      </c>
      <c r="F34" s="25"/>
      <c r="G34" s="25"/>
    </row>
    <row r="36" ht="24" customHeight="1" spans="1:7" x14ac:dyDescent="0.25">
      <c r="A36" s="26" t="s">
        <v>65</v>
      </c>
      <c r="B36" s="26"/>
      <c r="C36" s="26"/>
      <c r="D36" s="26"/>
      <c r="E36" s="26"/>
      <c r="F36" s="26"/>
      <c r="G36" s="26"/>
    </row>
    <row r="37" ht="22" customHeight="1" spans="2:4" x14ac:dyDescent="0.25">
      <c r="B37" s="27" t="s">
        <v>66</v>
      </c>
      <c r="C37" s="28" t="s">
        <v>3</v>
      </c>
      <c r="D37" s="28"/>
    </row>
    <row r="38" ht="22" customHeight="1" spans="2:4" x14ac:dyDescent="0.25">
      <c r="B38" s="27" t="s">
        <v>67</v>
      </c>
      <c r="C38" s="29">
        <f>IFERROR(C37/ContractValue,0)</f>
      </c>
      <c r="D38" s="29"/>
    </row>
    <row r="39" ht="22" customHeight="1" spans="2:4" x14ac:dyDescent="0.25">
      <c r="B39" s="27" t="s">
        <v>68</v>
      </c>
      <c r="C39" s="29">
        <f>IFERROR(C37/C34,0)</f>
      </c>
      <c r="D39" s="29"/>
    </row>
    <row r="40" ht="22" customHeight="1" spans="2:4" x14ac:dyDescent="0.25">
      <c r="B40" s="27" t="s">
        <v>69</v>
      </c>
      <c r="C40" s="30">
        <f>IF(C34&gt;C37,"OK — Expected value exceeds B&amp;P spend","Risk — B&amp;P spend exceeds expected value")</f>
      </c>
      <c r="D40" s="30"/>
    </row>
    <row r="43" spans="1:7" x14ac:dyDescent="0.25">
      <c r="A43" s="31" t="s">
        <v>70</v>
      </c>
      <c r="B43" s="31"/>
      <c r="C43" s="31"/>
      <c r="D43" s="31"/>
      <c r="E43" s="31"/>
      <c r="F43" s="31"/>
      <c r="G43" s="31"/>
    </row>
  </sheetData>
  <mergeCells count="35">
    <mergeCell ref="A1:G1"/>
    <mergeCell ref="A2:G2"/>
    <mergeCell ref="C4:D4"/>
    <mergeCell ref="F4:G4"/>
    <mergeCell ref="C5:D5"/>
    <mergeCell ref="F5:G5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A13:G13"/>
    <mergeCell ref="A17:G17"/>
    <mergeCell ref="A21:G21"/>
    <mergeCell ref="A25:G25"/>
    <mergeCell ref="A28:G28"/>
    <mergeCell ref="A31:B31"/>
    <mergeCell ref="D31:G31"/>
    <mergeCell ref="A33:B33"/>
    <mergeCell ref="C33:D33"/>
    <mergeCell ref="E33:G33"/>
    <mergeCell ref="A34:B34"/>
    <mergeCell ref="C34:D34"/>
    <mergeCell ref="E34:G34"/>
    <mergeCell ref="A36:G36"/>
    <mergeCell ref="C37:D37"/>
    <mergeCell ref="C38:D38"/>
    <mergeCell ref="C39:D39"/>
    <mergeCell ref="C40:D40"/>
    <mergeCell ref="A43:G43"/>
  </mergeCells>
  <conditionalFormatting sqref="C33">
    <cfRule type="cellIs" dxfId="0" priority="1" operator="greaterThanOrEqual">
      <formula>0.7</formula>
    </cfRule>
    <cfRule type="cellIs" dxfId="1" priority="2" operator="between">
      <formula>0.5</formula>
      <formula>0.6999</formula>
    </cfRule>
    <cfRule type="cellIs" dxfId="2" priority="3" operator="between">
      <formula>0.3</formula>
      <formula>0.4999</formula>
    </cfRule>
    <cfRule type="cellIs" dxfId="3" priority="4" operator="lessThan">
      <formula>0.3</formula>
    </cfRule>
  </conditionalFormatting>
  <conditionalFormatting sqref="C31">
    <cfRule type="cellIs" dxfId="4" priority="1" operator="between">
      <formula>0.999</formula>
      <formula>1.001</formula>
    </cfRule>
    <cfRule type="cellIs" dxfId="5" priority="2" operator="notBetween">
      <formula>0.999</formula>
      <formula>1.001</formula>
    </cfRule>
  </conditionalFormatting>
  <conditionalFormatting sqref="D14">
    <cfRule type="cellIs" dxfId="6" priority="1" operator="greaterThanOrEqual">
      <formula>70</formula>
    </cfRule>
    <cfRule type="cellIs" dxfId="7" priority="2" operator="between">
      <formula>40</formula>
      <formula>69</formula>
    </cfRule>
    <cfRule type="cellIs" dxfId="8" priority="3" operator="lessThan">
      <formula>40</formula>
    </cfRule>
  </conditionalFormatting>
  <conditionalFormatting sqref="D15">
    <cfRule type="cellIs" dxfId="9" priority="1" operator="greaterThanOrEqual">
      <formula>70</formula>
    </cfRule>
    <cfRule type="cellIs" dxfId="10" priority="2" operator="between">
      <formula>40</formula>
      <formula>69</formula>
    </cfRule>
    <cfRule type="cellIs" dxfId="11" priority="3" operator="lessThan">
      <formula>40</formula>
    </cfRule>
  </conditionalFormatting>
  <conditionalFormatting sqref="D16">
    <cfRule type="cellIs" dxfId="12" priority="1" operator="greaterThanOrEqual">
      <formula>70</formula>
    </cfRule>
    <cfRule type="cellIs" dxfId="13" priority="2" operator="between">
      <formula>40</formula>
      <formula>69</formula>
    </cfRule>
    <cfRule type="cellIs" dxfId="14" priority="3" operator="lessThan">
      <formula>40</formula>
    </cfRule>
  </conditionalFormatting>
  <conditionalFormatting sqref="D18">
    <cfRule type="cellIs" dxfId="15" priority="1" operator="greaterThanOrEqual">
      <formula>70</formula>
    </cfRule>
    <cfRule type="cellIs" dxfId="16" priority="2" operator="between">
      <formula>40</formula>
      <formula>69</formula>
    </cfRule>
    <cfRule type="cellIs" dxfId="17" priority="3" operator="lessThan">
      <formula>40</formula>
    </cfRule>
  </conditionalFormatting>
  <conditionalFormatting sqref="D19">
    <cfRule type="cellIs" dxfId="18" priority="1" operator="greaterThanOrEqual">
      <formula>70</formula>
    </cfRule>
    <cfRule type="cellIs" dxfId="19" priority="2" operator="between">
      <formula>40</formula>
      <formula>69</formula>
    </cfRule>
    <cfRule type="cellIs" dxfId="20" priority="3" operator="lessThan">
      <formula>40</formula>
    </cfRule>
  </conditionalFormatting>
  <conditionalFormatting sqref="D20">
    <cfRule type="cellIs" dxfId="21" priority="1" operator="greaterThanOrEqual">
      <formula>70</formula>
    </cfRule>
    <cfRule type="cellIs" dxfId="22" priority="2" operator="between">
      <formula>40</formula>
      <formula>69</formula>
    </cfRule>
    <cfRule type="cellIs" dxfId="23" priority="3" operator="lessThan">
      <formula>40</formula>
    </cfRule>
  </conditionalFormatting>
  <conditionalFormatting sqref="D22">
    <cfRule type="cellIs" dxfId="24" priority="1" operator="greaterThanOrEqual">
      <formula>70</formula>
    </cfRule>
    <cfRule type="cellIs" dxfId="25" priority="2" operator="between">
      <formula>40</formula>
      <formula>69</formula>
    </cfRule>
    <cfRule type="cellIs" dxfId="26" priority="3" operator="lessThan">
      <formula>40</formula>
    </cfRule>
  </conditionalFormatting>
  <conditionalFormatting sqref="D23">
    <cfRule type="cellIs" dxfId="27" priority="1" operator="greaterThanOrEqual">
      <formula>70</formula>
    </cfRule>
    <cfRule type="cellIs" dxfId="28" priority="2" operator="between">
      <formula>40</formula>
      <formula>69</formula>
    </cfRule>
    <cfRule type="cellIs" dxfId="29" priority="3" operator="lessThan">
      <formula>40</formula>
    </cfRule>
  </conditionalFormatting>
  <conditionalFormatting sqref="D24">
    <cfRule type="cellIs" dxfId="30" priority="1" operator="greaterThanOrEqual">
      <formula>70</formula>
    </cfRule>
    <cfRule type="cellIs" dxfId="31" priority="2" operator="between">
      <formula>40</formula>
      <formula>69</formula>
    </cfRule>
    <cfRule type="cellIs" dxfId="32" priority="3" operator="lessThan">
      <formula>40</formula>
    </cfRule>
  </conditionalFormatting>
  <conditionalFormatting sqref="D26">
    <cfRule type="cellIs" dxfId="33" priority="1" operator="greaterThanOrEqual">
      <formula>70</formula>
    </cfRule>
    <cfRule type="cellIs" dxfId="34" priority="2" operator="between">
      <formula>40</formula>
      <formula>69</formula>
    </cfRule>
    <cfRule type="cellIs" dxfId="35" priority="3" operator="lessThan">
      <formula>40</formula>
    </cfRule>
  </conditionalFormatting>
  <conditionalFormatting sqref="D27">
    <cfRule type="cellIs" dxfId="36" priority="1" operator="greaterThanOrEqual">
      <formula>70</formula>
    </cfRule>
    <cfRule type="cellIs" dxfId="37" priority="2" operator="between">
      <formula>40</formula>
      <formula>69</formula>
    </cfRule>
    <cfRule type="cellIs" dxfId="38" priority="3" operator="lessThan">
      <formula>40</formula>
    </cfRule>
  </conditionalFormatting>
  <conditionalFormatting sqref="D29">
    <cfRule type="cellIs" dxfId="39" priority="1" operator="greaterThanOrEqual">
      <formula>70</formula>
    </cfRule>
    <cfRule type="cellIs" dxfId="40" priority="2" operator="between">
      <formula>40</formula>
      <formula>69</formula>
    </cfRule>
    <cfRule type="cellIs" dxfId="41" priority="3" operator="lessThan">
      <formula>40</formula>
    </cfRule>
  </conditionalFormatting>
  <dataValidations count="5">
    <dataValidation type="whole" allowBlank="1" showInputMessage="1" promptTitle="Rating" prompt="0 = no advantage. 50 = competitive but not differentiated. 100 = clear winner on this factor." showErrorMessage="1" errorTitle="Invalid rating" error="Enter a whole number between 0 and 100." sqref="D14:D16">
      <formula1>0</formula1>
      <formula2>100</formula2>
    </dataValidation>
    <dataValidation type="whole" allowBlank="1" showInputMessage="1" promptTitle="Rating" prompt="0 = no advantage. 50 = competitive but not differentiated. 100 = clear winner on this factor." showErrorMessage="1" errorTitle="Invalid rating" error="Enter a whole number between 0 and 100." sqref="D18:D20">
      <formula1>0</formula1>
      <formula2>100</formula2>
    </dataValidation>
    <dataValidation type="whole" allowBlank="1" showInputMessage="1" promptTitle="Rating" prompt="0 = no advantage. 50 = competitive but not differentiated. 100 = clear winner on this factor." showErrorMessage="1" errorTitle="Invalid rating" error="Enter a whole number between 0 and 100." sqref="D22:D24">
      <formula1>0</formula1>
      <formula2>100</formula2>
    </dataValidation>
    <dataValidation type="whole" allowBlank="1" showInputMessage="1" promptTitle="Rating" prompt="0 = no advantage. 50 = competitive but not differentiated. 100 = clear winner on this factor." showErrorMessage="1" errorTitle="Invalid rating" error="Enter a whole number between 0 and 100." sqref="D26:D27">
      <formula1>0</formula1>
      <formula2>100</formula2>
    </dataValidation>
    <dataValidation type="whole" allowBlank="1" showInputMessage="1" promptTitle="Rating" prompt="0 = no advantage. 50 = competitive but not differentiated. 100 = clear winner on this factor." showErrorMessage="1" errorTitle="Invalid rating" error="Enter a whole number between 0 and 100." sqref="D29">
      <formula1>0</formula1>
      <formula2>100</formula2>
    </dataValidation>
  </dataValidations>
  <pageMargins left="0.5" right="0.5" top="0.75" bottom="0.75" header="0.3" footer="0.3"/>
  <pageSetup orientation="portrait" horizontalDpi="4294967295" verticalDpi="4294967295" scale="100" fitToWidth="1" fitToHeight="0"/>
  <headerFooter>
    <oddHeader>&amp;L&amp;"Helvetica,Bold"&amp;14PWin Calculator&amp;R&amp;D</oddHeader>
    <oddFooter>&amp;LCapturePilot Federal Lead Kit&amp;Ccaptorpilot.com&amp;R04 — PWin Calculator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  <pageSetUpPr fitToPage="1"/>
  </sheetPr>
  <dimension ref="A1:E36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8" customWidth="1"/>
    <col min="3" max="3" width="20" customWidth="1"/>
    <col min="4" max="4" width="22" customWidth="1"/>
    <col min="5" max="5" width="60" customWidth="1"/>
  </cols>
  <sheetData>
    <row r="1" ht="36" customHeight="1" spans="1:5" x14ac:dyDescent="0.25">
      <c r="A1" s="1" t="s">
        <v>71</v>
      </c>
      <c r="B1" s="1"/>
      <c r="C1" s="1"/>
      <c r="D1" s="1"/>
      <c r="E1" s="1"/>
    </row>
    <row r="2" ht="22" customHeight="1" spans="1:5" x14ac:dyDescent="0.25">
      <c r="A2" s="4" t="s">
        <v>72</v>
      </c>
      <c r="B2" s="4"/>
      <c r="C2" s="4"/>
      <c r="D2" s="4"/>
      <c r="E2" s="4"/>
    </row>
    <row r="3" ht="6" customHeight="1" x14ac:dyDescent="0.25"/>
    <row r="4" ht="24" customHeight="1" spans="1:5" x14ac:dyDescent="0.25">
      <c r="A4" s="26" t="s">
        <v>73</v>
      </c>
      <c r="B4" s="26"/>
      <c r="C4" s="26"/>
      <c r="D4" s="26"/>
      <c r="E4" s="26"/>
    </row>
    <row r="5" ht="24" customHeight="1" spans="1:5" x14ac:dyDescent="0.25">
      <c r="A5" s="32" t="s">
        <v>3</v>
      </c>
      <c r="B5" s="32" t="s">
        <v>74</v>
      </c>
      <c r="C5" s="32" t="s">
        <v>75</v>
      </c>
      <c r="D5" s="32" t="s">
        <v>76</v>
      </c>
      <c r="E5" s="32" t="s">
        <v>77</v>
      </c>
    </row>
    <row r="6" ht="22" customHeight="1" spans="1:5" x14ac:dyDescent="0.25">
      <c r="A6" s="33" t="s">
        <v>3</v>
      </c>
      <c r="B6" s="33" t="s">
        <v>78</v>
      </c>
      <c r="C6" s="33" t="s">
        <v>79</v>
      </c>
      <c r="D6" s="33" t="s">
        <v>80</v>
      </c>
      <c r="E6" s="33" t="s">
        <v>81</v>
      </c>
    </row>
    <row r="7" ht="22" customHeight="1" spans="1:5" x14ac:dyDescent="0.25">
      <c r="A7" s="34" t="s">
        <v>3</v>
      </c>
      <c r="B7" s="34" t="s">
        <v>82</v>
      </c>
      <c r="C7" s="34" t="s">
        <v>83</v>
      </c>
      <c r="D7" s="34" t="s">
        <v>84</v>
      </c>
      <c r="E7" s="34" t="s">
        <v>85</v>
      </c>
    </row>
    <row r="8" ht="22" customHeight="1" spans="1:5" x14ac:dyDescent="0.25">
      <c r="A8" s="33" t="s">
        <v>3</v>
      </c>
      <c r="B8" s="33" t="s">
        <v>86</v>
      </c>
      <c r="C8" s="33" t="s">
        <v>87</v>
      </c>
      <c r="D8" s="33" t="s">
        <v>88</v>
      </c>
      <c r="E8" s="33" t="s">
        <v>89</v>
      </c>
    </row>
    <row r="9" ht="22" customHeight="1" spans="1:5" x14ac:dyDescent="0.25">
      <c r="A9" s="34" t="s">
        <v>3</v>
      </c>
      <c r="B9" s="34" t="s">
        <v>90</v>
      </c>
      <c r="C9" s="34" t="s">
        <v>91</v>
      </c>
      <c r="D9" s="34" t="s">
        <v>92</v>
      </c>
      <c r="E9" s="34" t="s">
        <v>93</v>
      </c>
    </row>
    <row r="11" ht="24" customHeight="1" spans="1:5" x14ac:dyDescent="0.25">
      <c r="A11" s="26" t="s">
        <v>94</v>
      </c>
      <c r="B11" s="26"/>
      <c r="C11" s="26"/>
      <c r="D11" s="26"/>
      <c r="E11" s="26"/>
    </row>
    <row r="12" ht="24" customHeight="1" spans="1:5" x14ac:dyDescent="0.25">
      <c r="A12" s="32" t="s">
        <v>3</v>
      </c>
      <c r="B12" s="32" t="s">
        <v>95</v>
      </c>
      <c r="C12" s="32" t="s">
        <v>96</v>
      </c>
      <c r="D12" s="32" t="s">
        <v>97</v>
      </c>
      <c r="E12" s="32" t="s">
        <v>37</v>
      </c>
    </row>
    <row r="13" ht="22" customHeight="1" spans="1:5" x14ac:dyDescent="0.25">
      <c r="A13" s="34" t="s">
        <v>3</v>
      </c>
      <c r="B13" s="34" t="s">
        <v>98</v>
      </c>
      <c r="C13" s="34" t="s">
        <v>99</v>
      </c>
      <c r="D13" s="34" t="s">
        <v>100</v>
      </c>
      <c r="E13" s="34" t="s">
        <v>101</v>
      </c>
    </row>
    <row r="14" ht="22" customHeight="1" spans="1:5" x14ac:dyDescent="0.25">
      <c r="A14" s="33" t="s">
        <v>3</v>
      </c>
      <c r="B14" s="33" t="s">
        <v>102</v>
      </c>
      <c r="C14" s="33" t="s">
        <v>103</v>
      </c>
      <c r="D14" s="33" t="s">
        <v>104</v>
      </c>
      <c r="E14" s="33" t="s">
        <v>105</v>
      </c>
    </row>
    <row r="15" ht="22" customHeight="1" spans="1:5" x14ac:dyDescent="0.25">
      <c r="A15" s="34" t="s">
        <v>3</v>
      </c>
      <c r="B15" s="34" t="s">
        <v>106</v>
      </c>
      <c r="C15" s="34" t="s">
        <v>107</v>
      </c>
      <c r="D15" s="34" t="s">
        <v>108</v>
      </c>
      <c r="E15" s="34" t="s">
        <v>109</v>
      </c>
    </row>
    <row r="16" ht="22" customHeight="1" spans="1:5" x14ac:dyDescent="0.25">
      <c r="A16" s="33" t="s">
        <v>3</v>
      </c>
      <c r="B16" s="33" t="s">
        <v>110</v>
      </c>
      <c r="C16" s="33" t="s">
        <v>111</v>
      </c>
      <c r="D16" s="33" t="s">
        <v>112</v>
      </c>
      <c r="E16" s="33" t="s">
        <v>113</v>
      </c>
    </row>
    <row r="17" ht="22" customHeight="1" spans="1:5" x14ac:dyDescent="0.25">
      <c r="A17" s="34" t="s">
        <v>3</v>
      </c>
      <c r="B17" s="34" t="s">
        <v>114</v>
      </c>
      <c r="C17" s="34" t="s">
        <v>115</v>
      </c>
      <c r="D17" s="34" t="s">
        <v>116</v>
      </c>
      <c r="E17" s="34" t="s">
        <v>117</v>
      </c>
    </row>
    <row r="18" ht="22" customHeight="1" spans="1:5" x14ac:dyDescent="0.25">
      <c r="A18" s="33" t="s">
        <v>3</v>
      </c>
      <c r="B18" s="33" t="s">
        <v>118</v>
      </c>
      <c r="C18" s="33" t="s">
        <v>119</v>
      </c>
      <c r="D18" s="33" t="s">
        <v>120</v>
      </c>
      <c r="E18" s="33" t="s">
        <v>121</v>
      </c>
    </row>
    <row r="20" ht="24" customHeight="1" spans="1:5" x14ac:dyDescent="0.25">
      <c r="A20" s="26" t="s">
        <v>122</v>
      </c>
      <c r="B20" s="26"/>
      <c r="C20" s="26"/>
      <c r="D20" s="26"/>
      <c r="E20" s="26"/>
    </row>
    <row r="21" ht="24" customHeight="1" spans="1:5" x14ac:dyDescent="0.25">
      <c r="A21" s="32" t="s">
        <v>3</v>
      </c>
      <c r="B21" s="32" t="s">
        <v>123</v>
      </c>
      <c r="C21" s="32" t="s">
        <v>124</v>
      </c>
      <c r="D21" s="32" t="s">
        <v>125</v>
      </c>
      <c r="E21" s="32" t="s">
        <v>37</v>
      </c>
    </row>
    <row r="22" ht="22" customHeight="1" spans="1:5" x14ac:dyDescent="0.25">
      <c r="A22" s="33" t="s">
        <v>3</v>
      </c>
      <c r="B22" s="33" t="s">
        <v>126</v>
      </c>
      <c r="C22" s="33" t="s">
        <v>127</v>
      </c>
      <c r="D22" s="33" t="s">
        <v>128</v>
      </c>
      <c r="E22" s="33" t="s">
        <v>129</v>
      </c>
    </row>
    <row r="23" ht="22" customHeight="1" spans="1:5" x14ac:dyDescent="0.25">
      <c r="A23" s="34" t="s">
        <v>3</v>
      </c>
      <c r="B23" s="34" t="s">
        <v>130</v>
      </c>
      <c r="C23" s="34" t="s">
        <v>131</v>
      </c>
      <c r="D23" s="34" t="s">
        <v>132</v>
      </c>
      <c r="E23" s="34" t="s">
        <v>133</v>
      </c>
    </row>
    <row r="24" ht="22" customHeight="1" spans="1:5" x14ac:dyDescent="0.25">
      <c r="A24" s="33" t="s">
        <v>3</v>
      </c>
      <c r="B24" s="33" t="s">
        <v>134</v>
      </c>
      <c r="C24" s="33" t="s">
        <v>135</v>
      </c>
      <c r="D24" s="33" t="s">
        <v>136</v>
      </c>
      <c r="E24" s="33" t="s">
        <v>137</v>
      </c>
    </row>
    <row r="25" ht="22" customHeight="1" spans="1:5" x14ac:dyDescent="0.25">
      <c r="A25" s="34" t="s">
        <v>3</v>
      </c>
      <c r="B25" s="34" t="s">
        <v>138</v>
      </c>
      <c r="C25" s="34" t="s">
        <v>139</v>
      </c>
      <c r="D25" s="34" t="s">
        <v>128</v>
      </c>
      <c r="E25" s="34" t="s">
        <v>140</v>
      </c>
    </row>
    <row r="26" ht="22" customHeight="1" spans="1:5" x14ac:dyDescent="0.25">
      <c r="A26" s="33" t="s">
        <v>3</v>
      </c>
      <c r="B26" s="33" t="s">
        <v>141</v>
      </c>
      <c r="C26" s="33" t="s">
        <v>142</v>
      </c>
      <c r="D26" s="33" t="s">
        <v>143</v>
      </c>
      <c r="E26" s="33" t="s">
        <v>144</v>
      </c>
    </row>
    <row r="28" ht="24" customHeight="1" spans="1:5" x14ac:dyDescent="0.25">
      <c r="A28" s="26" t="s">
        <v>145</v>
      </c>
      <c r="B28" s="26"/>
      <c r="C28" s="26"/>
      <c r="D28" s="26"/>
      <c r="E28" s="26"/>
    </row>
    <row r="29" ht="24" customHeight="1" spans="1:5" x14ac:dyDescent="0.25">
      <c r="A29" s="32" t="s">
        <v>3</v>
      </c>
      <c r="B29" s="32" t="s">
        <v>146</v>
      </c>
      <c r="C29" s="32" t="s">
        <v>147</v>
      </c>
      <c r="D29" s="32" t="s">
        <v>148</v>
      </c>
      <c r="E29" s="32" t="s">
        <v>149</v>
      </c>
    </row>
    <row r="30" ht="22" customHeight="1" spans="1:5" x14ac:dyDescent="0.25">
      <c r="A30" s="33" t="s">
        <v>3</v>
      </c>
      <c r="B30" s="33" t="s">
        <v>150</v>
      </c>
      <c r="C30" s="33" t="s">
        <v>151</v>
      </c>
      <c r="D30" s="33" t="s">
        <v>152</v>
      </c>
      <c r="E30" s="33" t="s">
        <v>153</v>
      </c>
    </row>
    <row r="31" ht="22" customHeight="1" spans="1:5" x14ac:dyDescent="0.25">
      <c r="A31" s="34" t="s">
        <v>3</v>
      </c>
      <c r="B31" s="34" t="s">
        <v>154</v>
      </c>
      <c r="C31" s="34" t="s">
        <v>155</v>
      </c>
      <c r="D31" s="34" t="s">
        <v>156</v>
      </c>
      <c r="E31" s="34" t="s">
        <v>157</v>
      </c>
    </row>
    <row r="32" ht="22" customHeight="1" spans="1:5" x14ac:dyDescent="0.25">
      <c r="A32" s="33" t="s">
        <v>3</v>
      </c>
      <c r="B32" s="33" t="s">
        <v>158</v>
      </c>
      <c r="C32" s="33" t="s">
        <v>159</v>
      </c>
      <c r="D32" s="33" t="s">
        <v>160</v>
      </c>
      <c r="E32" s="33" t="s">
        <v>161</v>
      </c>
    </row>
    <row r="33" ht="22" customHeight="1" spans="1:5" x14ac:dyDescent="0.25">
      <c r="A33" s="34" t="s">
        <v>3</v>
      </c>
      <c r="B33" s="34" t="s">
        <v>162</v>
      </c>
      <c r="C33" s="34" t="s">
        <v>163</v>
      </c>
      <c r="D33" s="34" t="s">
        <v>152</v>
      </c>
      <c r="E33" s="34" t="s">
        <v>164</v>
      </c>
    </row>
    <row r="34" ht="22" customHeight="1" spans="1:5" x14ac:dyDescent="0.25">
      <c r="A34" s="33" t="s">
        <v>3</v>
      </c>
      <c r="B34" s="33" t="s">
        <v>165</v>
      </c>
      <c r="C34" s="33" t="s">
        <v>166</v>
      </c>
      <c r="D34" s="33" t="s">
        <v>160</v>
      </c>
      <c r="E34" s="33" t="s">
        <v>167</v>
      </c>
    </row>
    <row r="35" ht="22" customHeight="1" spans="1:5" x14ac:dyDescent="0.25">
      <c r="A35" s="34" t="s">
        <v>3</v>
      </c>
      <c r="B35" s="34" t="s">
        <v>168</v>
      </c>
      <c r="C35" s="34" t="s">
        <v>166</v>
      </c>
      <c r="D35" s="34" t="s">
        <v>156</v>
      </c>
      <c r="E35" s="34" t="s">
        <v>169</v>
      </c>
    </row>
    <row r="36" ht="22" customHeight="1" spans="1:5" x14ac:dyDescent="0.25">
      <c r="A36" s="33" t="s">
        <v>3</v>
      </c>
      <c r="B36" s="33" t="s">
        <v>170</v>
      </c>
      <c r="C36" s="33" t="s">
        <v>171</v>
      </c>
      <c r="D36" s="33" t="s">
        <v>152</v>
      </c>
      <c r="E36" s="33" t="s">
        <v>172</v>
      </c>
    </row>
  </sheetData>
  <mergeCells count="6">
    <mergeCell ref="A1:E1"/>
    <mergeCell ref="A2:E2"/>
    <mergeCell ref="A4:E4"/>
    <mergeCell ref="A11:E11"/>
    <mergeCell ref="A20:E20"/>
    <mergeCell ref="A28:E28"/>
  </mergeCells>
  <pageMargins left="0.5" right="0.5" top="0.75" bottom="0.75" header="0.3" footer="0.3"/>
  <pageSetup orientation="portrait" horizontalDpi="4294967295" verticalDpi="4294967295" scale="100" fitToWidth="1" fitToHeight="0"/>
  <headerFooter>
    <oddHeader>&amp;L&amp;"Helvetica,Bold"&amp;14PWin Calculator&amp;R&amp;D</oddHeader>
    <oddFooter>&amp;LCapturePilot Federal Lead Kit&amp;Ccaptorpilot.com&amp;R04 — PWin Calculator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  <pageSetUpPr fitToPage="1"/>
  </sheetPr>
  <dimension ref="A1:I2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22" customWidth="1"/>
    <col min="3" max="3" width="14" customWidth="1"/>
    <col min="4" max="4" width="16" customWidth="1"/>
    <col min="5" max="5" width="14" customWidth="1"/>
    <col min="6" max="6" width="16" customWidth="1"/>
    <col min="7" max="7" width="14" customWidth="1"/>
    <col min="8" max="8" width="16" customWidth="1"/>
    <col min="9" max="9" width="22" customWidth="1"/>
  </cols>
  <sheetData>
    <row r="1" ht="36" customHeight="1" spans="1:9" x14ac:dyDescent="0.25">
      <c r="A1" s="1" t="s">
        <v>173</v>
      </c>
      <c r="B1" s="1"/>
      <c r="C1" s="1"/>
      <c r="D1" s="1"/>
      <c r="E1" s="1"/>
      <c r="F1" s="1"/>
      <c r="G1" s="1"/>
      <c r="H1" s="1"/>
      <c r="I1" s="1"/>
    </row>
    <row r="2" ht="28" customHeight="1" spans="1:9" x14ac:dyDescent="0.25">
      <c r="A2" s="9" t="s">
        <v>24</v>
      </c>
      <c r="B2" s="9" t="s">
        <v>174</v>
      </c>
      <c r="C2" s="9" t="s">
        <v>28</v>
      </c>
      <c r="D2" s="9" t="s">
        <v>175</v>
      </c>
      <c r="E2" s="9" t="s">
        <v>176</v>
      </c>
      <c r="F2" s="9" t="s">
        <v>177</v>
      </c>
      <c r="G2" s="9" t="s">
        <v>178</v>
      </c>
      <c r="H2" s="9" t="s">
        <v>179</v>
      </c>
      <c r="I2" s="9" t="s">
        <v>180</v>
      </c>
    </row>
    <row r="3" ht="22" customHeight="1" spans="1:9" x14ac:dyDescent="0.25">
      <c r="A3" s="35" t="s">
        <v>181</v>
      </c>
      <c r="B3" s="36" t="s">
        <v>182</v>
      </c>
      <c r="C3" s="37" t="s">
        <v>183</v>
      </c>
      <c r="D3" s="38">
        <v>2400000</v>
      </c>
      <c r="E3" s="13">
        <v>0.51</v>
      </c>
      <c r="F3" s="39">
        <f>IFERROR(D3*E3,0)</f>
      </c>
      <c r="G3" s="37" t="s">
        <v>184</v>
      </c>
      <c r="H3" s="40">
        <v>46280.25</v>
      </c>
      <c r="I3" s="37" t="s">
        <v>185</v>
      </c>
    </row>
    <row r="4" ht="22" customHeight="1" spans="1:9" x14ac:dyDescent="0.25">
      <c r="A4" s="41" t="s">
        <v>186</v>
      </c>
      <c r="B4" s="42" t="s">
        <v>187</v>
      </c>
      <c r="C4" s="43" t="s">
        <v>188</v>
      </c>
      <c r="D4" s="44">
        <v>850000</v>
      </c>
      <c r="E4" s="45">
        <v>0.32</v>
      </c>
      <c r="F4" s="46">
        <f>IFERROR(D4*E4,0)</f>
      </c>
      <c r="G4" s="43" t="s">
        <v>189</v>
      </c>
      <c r="H4" s="47">
        <v>46325.25</v>
      </c>
      <c r="I4" s="43" t="s">
        <v>190</v>
      </c>
    </row>
    <row r="5" ht="22" customHeight="1" spans="1:9" x14ac:dyDescent="0.25">
      <c r="A5" s="35"/>
      <c r="B5" s="36"/>
      <c r="C5" s="37"/>
      <c r="D5" s="38"/>
      <c r="E5" s="13"/>
      <c r="F5" s="39">
        <f>IFERROR(D5*E5,0)</f>
      </c>
      <c r="G5" s="37"/>
      <c r="H5" s="40"/>
      <c r="I5" s="37"/>
    </row>
    <row r="6" ht="22" customHeight="1" spans="1:9" x14ac:dyDescent="0.25">
      <c r="A6" s="41"/>
      <c r="B6" s="42"/>
      <c r="C6" s="43"/>
      <c r="D6" s="44"/>
      <c r="E6" s="45"/>
      <c r="F6" s="46">
        <f>IFERROR(D6*E6,0)</f>
      </c>
      <c r="G6" s="43"/>
      <c r="H6" s="47"/>
      <c r="I6" s="43"/>
    </row>
    <row r="7" ht="22" customHeight="1" spans="1:9" x14ac:dyDescent="0.25">
      <c r="A7" s="35"/>
      <c r="B7" s="36"/>
      <c r="C7" s="37"/>
      <c r="D7" s="38"/>
      <c r="E7" s="13"/>
      <c r="F7" s="39">
        <f>IFERROR(D7*E7,0)</f>
      </c>
      <c r="G7" s="37"/>
      <c r="H7" s="40"/>
      <c r="I7" s="37"/>
    </row>
    <row r="8" ht="22" customHeight="1" spans="1:9" x14ac:dyDescent="0.25">
      <c r="A8" s="41"/>
      <c r="B8" s="42"/>
      <c r="C8" s="43"/>
      <c r="D8" s="44"/>
      <c r="E8" s="45"/>
      <c r="F8" s="46">
        <f>IFERROR(D8*E8,0)</f>
      </c>
      <c r="G8" s="43"/>
      <c r="H8" s="47"/>
      <c r="I8" s="43"/>
    </row>
    <row r="9" ht="22" customHeight="1" spans="1:9" x14ac:dyDescent="0.25">
      <c r="A9" s="35"/>
      <c r="B9" s="36"/>
      <c r="C9" s="37"/>
      <c r="D9" s="38"/>
      <c r="E9" s="13"/>
      <c r="F9" s="39">
        <f>IFERROR(D9*E9,0)</f>
      </c>
      <c r="G9" s="37"/>
      <c r="H9" s="40"/>
      <c r="I9" s="37"/>
    </row>
    <row r="10" ht="22" customHeight="1" spans="1:9" x14ac:dyDescent="0.25">
      <c r="A10" s="41"/>
      <c r="B10" s="42"/>
      <c r="C10" s="43"/>
      <c r="D10" s="44"/>
      <c r="E10" s="45"/>
      <c r="F10" s="46">
        <f>IFERROR(D10*E10,0)</f>
      </c>
      <c r="G10" s="43"/>
      <c r="H10" s="47"/>
      <c r="I10" s="43"/>
    </row>
    <row r="11" ht="22" customHeight="1" spans="1:9" x14ac:dyDescent="0.25">
      <c r="A11" s="35"/>
      <c r="B11" s="36"/>
      <c r="C11" s="37"/>
      <c r="D11" s="38"/>
      <c r="E11" s="13"/>
      <c r="F11" s="39">
        <f>IFERROR(D11*E11,0)</f>
      </c>
      <c r="G11" s="37"/>
      <c r="H11" s="40"/>
      <c r="I11" s="37"/>
    </row>
    <row r="12" ht="22" customHeight="1" spans="1:9" x14ac:dyDescent="0.25">
      <c r="A12" s="41"/>
      <c r="B12" s="42"/>
      <c r="C12" s="43"/>
      <c r="D12" s="44"/>
      <c r="E12" s="45"/>
      <c r="F12" s="46">
        <f>IFERROR(D12*E12,0)</f>
      </c>
      <c r="G12" s="43"/>
      <c r="H12" s="47"/>
      <c r="I12" s="43"/>
    </row>
    <row r="13" ht="22" customHeight="1" spans="1:9" x14ac:dyDescent="0.25">
      <c r="A13" s="35"/>
      <c r="B13" s="36"/>
      <c r="C13" s="37"/>
      <c r="D13" s="38"/>
      <c r="E13" s="13"/>
      <c r="F13" s="39">
        <f>IFERROR(D13*E13,0)</f>
      </c>
      <c r="G13" s="37"/>
      <c r="H13" s="40"/>
      <c r="I13" s="37"/>
    </row>
    <row r="14" ht="22" customHeight="1" spans="1:9" x14ac:dyDescent="0.25">
      <c r="A14" s="41"/>
      <c r="B14" s="42"/>
      <c r="C14" s="43"/>
      <c r="D14" s="44"/>
      <c r="E14" s="45"/>
      <c r="F14" s="46">
        <f>IFERROR(D14*E14,0)</f>
      </c>
      <c r="G14" s="43"/>
      <c r="H14" s="47"/>
      <c r="I14" s="43"/>
    </row>
    <row r="15" ht="22" customHeight="1" spans="1:9" x14ac:dyDescent="0.25">
      <c r="A15" s="35"/>
      <c r="B15" s="36"/>
      <c r="C15" s="37"/>
      <c r="D15" s="38"/>
      <c r="E15" s="13"/>
      <c r="F15" s="39">
        <f>IFERROR(D15*E15,0)</f>
      </c>
      <c r="G15" s="37"/>
      <c r="H15" s="40"/>
      <c r="I15" s="37"/>
    </row>
    <row r="16" ht="22" customHeight="1" spans="1:9" x14ac:dyDescent="0.25">
      <c r="A16" s="41"/>
      <c r="B16" s="42"/>
      <c r="C16" s="43"/>
      <c r="D16" s="44"/>
      <c r="E16" s="45"/>
      <c r="F16" s="46">
        <f>IFERROR(D16*E16,0)</f>
      </c>
      <c r="G16" s="43"/>
      <c r="H16" s="47"/>
      <c r="I16" s="43"/>
    </row>
    <row r="17" ht="22" customHeight="1" spans="1:9" x14ac:dyDescent="0.25">
      <c r="A17" s="35"/>
      <c r="B17" s="36"/>
      <c r="C17" s="37"/>
      <c r="D17" s="38"/>
      <c r="E17" s="13"/>
      <c r="F17" s="39">
        <f>IFERROR(D17*E17,0)</f>
      </c>
      <c r="G17" s="37"/>
      <c r="H17" s="40"/>
      <c r="I17" s="37"/>
    </row>
    <row r="18" ht="22" customHeight="1" spans="1:9" x14ac:dyDescent="0.25">
      <c r="A18" s="41"/>
      <c r="B18" s="42"/>
      <c r="C18" s="43"/>
      <c r="D18" s="44"/>
      <c r="E18" s="45"/>
      <c r="F18" s="46">
        <f>IFERROR(D18*E18,0)</f>
      </c>
      <c r="G18" s="43"/>
      <c r="H18" s="47"/>
      <c r="I18" s="43"/>
    </row>
    <row r="19" ht="22" customHeight="1" spans="1:9" x14ac:dyDescent="0.25">
      <c r="A19" s="35"/>
      <c r="B19" s="36"/>
      <c r="C19" s="37"/>
      <c r="D19" s="38"/>
      <c r="E19" s="13"/>
      <c r="F19" s="39">
        <f>IFERROR(D19*E19,0)</f>
      </c>
      <c r="G19" s="37"/>
      <c r="H19" s="40"/>
      <c r="I19" s="37"/>
    </row>
    <row r="20" ht="22" customHeight="1" spans="1:9" x14ac:dyDescent="0.25">
      <c r="A20" s="41"/>
      <c r="B20" s="42"/>
      <c r="C20" s="43"/>
      <c r="D20" s="44"/>
      <c r="E20" s="45"/>
      <c r="F20" s="46">
        <f>IFERROR(D20*E20,0)</f>
      </c>
      <c r="G20" s="43"/>
      <c r="H20" s="47"/>
      <c r="I20" s="43"/>
    </row>
    <row r="21" ht="22" customHeight="1" spans="1:9" x14ac:dyDescent="0.25">
      <c r="A21" s="35"/>
      <c r="B21" s="36"/>
      <c r="C21" s="37"/>
      <c r="D21" s="38"/>
      <c r="E21" s="13"/>
      <c r="F21" s="39">
        <f>IFERROR(D21*E21,0)</f>
      </c>
      <c r="G21" s="37"/>
      <c r="H21" s="40"/>
      <c r="I21" s="37"/>
    </row>
    <row r="22" ht="22" customHeight="1" spans="1:9" x14ac:dyDescent="0.25">
      <c r="A22" s="41"/>
      <c r="B22" s="42"/>
      <c r="C22" s="43"/>
      <c r="D22" s="44"/>
      <c r="E22" s="45"/>
      <c r="F22" s="46">
        <f>IFERROR(D22*E22,0)</f>
      </c>
      <c r="G22" s="43"/>
      <c r="H22" s="47"/>
      <c r="I22" s="43"/>
    </row>
    <row r="23" ht="22" customHeight="1" spans="1:9" x14ac:dyDescent="0.25">
      <c r="A23" s="35"/>
      <c r="B23" s="36"/>
      <c r="C23" s="37"/>
      <c r="D23" s="38"/>
      <c r="E23" s="13"/>
      <c r="F23" s="39">
        <f>IFERROR(D23*E23,0)</f>
      </c>
      <c r="G23" s="37"/>
      <c r="H23" s="40"/>
      <c r="I23" s="37"/>
    </row>
    <row r="24" ht="22" customHeight="1" spans="1:9" x14ac:dyDescent="0.25">
      <c r="A24" s="41"/>
      <c r="B24" s="42"/>
      <c r="C24" s="43"/>
      <c r="D24" s="44"/>
      <c r="E24" s="45"/>
      <c r="F24" s="46">
        <f>IFERROR(D24*E24,0)</f>
      </c>
      <c r="G24" s="43"/>
      <c r="H24" s="47"/>
      <c r="I24" s="43"/>
    </row>
    <row r="25" ht="22" customHeight="1" spans="1:9" x14ac:dyDescent="0.25">
      <c r="A25" s="35"/>
      <c r="B25" s="36"/>
      <c r="C25" s="37"/>
      <c r="D25" s="38"/>
      <c r="E25" s="13"/>
      <c r="F25" s="39">
        <f>IFERROR(D25*E25,0)</f>
      </c>
      <c r="G25" s="37"/>
      <c r="H25" s="40"/>
      <c r="I25" s="37"/>
    </row>
    <row r="26" ht="22" customHeight="1" spans="1:9" x14ac:dyDescent="0.25">
      <c r="A26" s="41"/>
      <c r="B26" s="42"/>
      <c r="C26" s="43"/>
      <c r="D26" s="44"/>
      <c r="E26" s="45"/>
      <c r="F26" s="46">
        <f>IFERROR(D26*E26,0)</f>
      </c>
      <c r="G26" s="43"/>
      <c r="H26" s="47"/>
      <c r="I26" s="43"/>
    </row>
    <row r="27" ht="22" customHeight="1" spans="1:9" x14ac:dyDescent="0.25">
      <c r="A27" s="35"/>
      <c r="B27" s="36"/>
      <c r="C27" s="37"/>
      <c r="D27" s="38"/>
      <c r="E27" s="13"/>
      <c r="F27" s="39">
        <f>IFERROR(D27*E27,0)</f>
      </c>
      <c r="G27" s="37"/>
      <c r="H27" s="40"/>
      <c r="I27" s="37"/>
    </row>
    <row r="28" ht="28" customHeight="1" spans="1:9" x14ac:dyDescent="0.25">
      <c r="A28" s="48" t="s">
        <v>191</v>
      </c>
      <c r="B28" s="48"/>
      <c r="C28" s="48"/>
      <c r="D28" s="49">
        <f>SUM(D3:D27)</f>
      </c>
      <c r="E28" s="50">
        <f>IFERROR(SUMPRODUCT(D3:D27,E3:E27)/SUM(D3:D27),0)</f>
      </c>
      <c r="F28" s="49">
        <f>SUM(F3:F27)</f>
      </c>
      <c r="G28" s="51" t="s">
        <v>192</v>
      </c>
      <c r="H28" s="51"/>
      <c r="I28" s="51"/>
    </row>
  </sheetData>
  <mergeCells count="3">
    <mergeCell ref="A1:I1"/>
    <mergeCell ref="A28:C28"/>
    <mergeCell ref="G28:I28"/>
  </mergeCells>
  <conditionalFormatting sqref="E3:E27">
    <cfRule type="cellIs" dxfId="42" priority="1" operator="greaterThanOrEqual">
      <formula>0.7</formula>
    </cfRule>
    <cfRule type="cellIs" dxfId="43" priority="2" operator="between">
      <formula>0.5</formula>
      <formula>0.6999</formula>
    </cfRule>
    <cfRule type="cellIs" dxfId="44" priority="3" operator="lessThan">
      <formula>0.5</formula>
    </cfRule>
  </conditionalFormatting>
  <dataValidations count="6">
    <dataValidation type="decimal" allowBlank="1" showErrorMessage="1" errorTitle="Invalid PWin" error="Enter a decimal between 0 and 1 (e.g. 0.45 for 45%)." sqref="E10:E27">
      <formula1>0</formula1>
      <formula2>1</formula2>
    </dataValidation>
    <dataValidation type="decimal" allowBlank="1" showErrorMessage="1" errorTitle="Invalid PWin" error="Enter a decimal between 0 and 1 (e.g. 0.45 for 45%)." sqref="E3:E27">
      <formula1>0</formula1>
      <formula2>1</formula2>
    </dataValidation>
    <dataValidation type="list" allowBlank="1" showErrorMessage="1" errorTitle="Invalid stage" error="Pick from the dropdown." sqref="G10:G27">
      <formula1>"Identify,Qualify,Pursue,Capture,Pre-Sol,Sources Sought,Proposal,Submitted,Won,Lost,No-bid"</formula1>
    </dataValidation>
    <dataValidation type="list" allowBlank="1" showErrorMessage="1" errorTitle="Invalid stage" error="Pick from the dropdown." sqref="G3:G27">
      <formula1>"Identify,Qualify,Pursue,Capture,Pre-Sol,Sources Sought,Proposal,Submitted,Won,Lost,No-bid"</formula1>
    </dataValidation>
    <dataValidation type="list" allowBlank="1" showErrorMessage="1" errorTitle="Invalid decision" error="Pick from the dropdown." sqref="I10:I27">
      <formula1>"BID,No-bid,Watch,Team,Subcontract"</formula1>
    </dataValidation>
    <dataValidation type="list" allowBlank="1" showErrorMessage="1" errorTitle="Invalid decision" error="Pick from the dropdown." sqref="I3:I27">
      <formula1>"BID,No-bid,Watch,Team,Subcontract"</formula1>
    </dataValidation>
  </dataValidations>
  <pageMargins left="0.5" right="0.5" top="0.75" bottom="0.75" header="0.3" footer="0.3"/>
  <pageSetup orientation="portrait" horizontalDpi="4294967295" verticalDpi="4294967295" scale="100" fitToWidth="1" fitToHeight="0"/>
  <headerFooter>
    <oddHeader>&amp;L&amp;"Helvetica,Bold"&amp;14PWin Calculator&amp;R&amp;D</oddHeader>
    <oddFooter>&amp;LCapturePilot Federal Lead Kit&amp;Ccaptorpilot.com&amp;R04 — PWin Calculator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Calculator</vt:lpstr>
      <vt:lpstr>Benchmarks</vt:lpstr>
      <vt:lpstr>Pipeline</vt:lpstr>
    </vt:vector>
  </TitlesOfParts>
  <Company>CapturePilot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CapturePilot</dc:creator>
  <dc:title/>
  <dc:subject/>
  <dc:description/>
  <cp:keywords/>
  <cp:category/>
  <cp:lastModifiedBy>CapturePilot</cp:lastModifiedBy>
  <dcterms:created xsi:type="dcterms:W3CDTF">2026-06-05T21:26:50Z</dcterms:created>
  <dcterms:modified xsi:type="dcterms:W3CDTF">2026-06-05T21:26:50Z</dcterms:modified>
</cp:coreProperties>
</file>