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Lists" state="veryHidden" r:id="rId4"/>
    <sheet sheetId="2" name="Opportunity" state="visible" r:id="rId5"/>
    <sheet sheetId="3" name="PWin Scoring" state="visible" r:id="rId6"/>
    <sheet sheetId="4" name="Notes &amp; Sources" state="visible" r:id="rId7"/>
  </sheets>
  <definedNames>
    <definedName name="ScoreZeroToTen">Lists!$A$2:$A$12</definedName>
    <definedName name="WeightPriority">Lists!$B$2:$B$5</definedName>
  </definedNames>
  <calcPr calcId="171027"/>
</workbook>
</file>

<file path=xl/sharedStrings.xml><?xml version="1.0" encoding="utf-8"?>
<sst xmlns="http://schemas.openxmlformats.org/spreadsheetml/2006/main" count="109" uniqueCount="108">
  <si>
    <t>Score 0-10</t>
  </si>
  <si>
    <t>Weight Priority</t>
  </si>
  <si>
    <t>0</t>
  </si>
  <si>
    <t>Low</t>
  </si>
  <si>
    <t>1</t>
  </si>
  <si>
    <t>Medium</t>
  </si>
  <si>
    <t>2</t>
  </si>
  <si>
    <t>High</t>
  </si>
  <si>
    <t>3</t>
  </si>
  <si>
    <t>Critical</t>
  </si>
  <si>
    <t>4</t>
  </si>
  <si>
    <t>5</t>
  </si>
  <si>
    <t>6</t>
  </si>
  <si>
    <t>7</t>
  </si>
  <si>
    <t>8</t>
  </si>
  <si>
    <t>9</t>
  </si>
  <si>
    <t>10</t>
  </si>
  <si>
    <t>WORKED EXAMPLE — VA IT Modernization</t>
  </si>
  <si>
    <t>OPPORTUNITY SNAPSHOT</t>
  </si>
  <si>
    <t>Title</t>
  </si>
  <si>
    <t>Enterprise Help Desk Modernization — Phoenix VAMC</t>
  </si>
  <si>
    <t>Agency</t>
  </si>
  <si>
    <t>Department of Veterans Affairs (VA)</t>
  </si>
  <si>
    <t>Sub-agency</t>
  </si>
  <si>
    <t>Veterans Health Administration / Phoenix VA Medical Center</t>
  </si>
  <si>
    <t>Notice ID</t>
  </si>
  <si>
    <t>36C26224R0145 (hypothetical)</t>
  </si>
  <si>
    <t>Notice Type</t>
  </si>
  <si>
    <t>RFP — Sources Sought issued 90 days prior</t>
  </si>
  <si>
    <t>NAICS</t>
  </si>
  <si>
    <t>541512 — Computer Systems Design Services</t>
  </si>
  <si>
    <t>PSC</t>
  </si>
  <si>
    <t>D310 — IT and Telecom Help Desk Services</t>
  </si>
  <si>
    <t>Set-Aside</t>
  </si>
  <si>
    <t>SDVOSB sole-source under SAP threshold extended</t>
  </si>
  <si>
    <t>Contract Type</t>
  </si>
  <si>
    <t>FFP — Firm Fixed Price</t>
  </si>
  <si>
    <t>Value</t>
  </si>
  <si>
    <t>$1,200,000 (base + 4 option years)</t>
  </si>
  <si>
    <t>Period of Performance</t>
  </si>
  <si>
    <t>12 months base + 4 × 12-month options</t>
  </si>
  <si>
    <t>Place of Performance</t>
  </si>
  <si>
    <t>Phoenix VAMC + 3 community-based outpatient clinics</t>
  </si>
  <si>
    <t>Submission Due</t>
  </si>
  <si>
    <t>2026-08-15 11:59 PM ET</t>
  </si>
  <si>
    <t>Pre-Proposal Conference</t>
  </si>
  <si>
    <t>2026-07-22 (virtual)</t>
  </si>
  <si>
    <t>INCUMBENT INTEL</t>
  </si>
  <si>
    <t>Incumbent</t>
  </si>
  <si>
    <t>Generic IT Services LLC (large business)</t>
  </si>
  <si>
    <t>Incumbent contract value</t>
  </si>
  <si>
    <t>$980k over prior 24 months</t>
  </si>
  <si>
    <t>Known issues</t>
  </si>
  <si>
    <t>CPARS Marginal on Quality 2024; staffing turnover 40% in 2025</t>
  </si>
  <si>
    <t>Why this is re-competing now</t>
  </si>
  <si>
    <t>Mandatory SDVOSB set-aside — incumbent not eligible</t>
  </si>
  <si>
    <t>PWin SCORING — 12 FACTORS</t>
  </si>
  <si>
    <t>#</t>
  </si>
  <si>
    <t>Factor</t>
  </si>
  <si>
    <t>Weight %</t>
  </si>
  <si>
    <t>Weighted</t>
  </si>
  <si>
    <t>Justification (filled in)</t>
  </si>
  <si>
    <t>Customer Relationship</t>
  </si>
  <si>
    <t>CEO has met CO twice at SDVOSB Industry Day; submitted Sources Sought response that was cited verbatim in the draft RFP.</t>
  </si>
  <si>
    <t>Competitive Position</t>
  </si>
  <si>
    <t>Incumbent ineligible (large biz). Only 3 known SDVOSB competitors; our team has 2 of their key personnel as references.</t>
  </si>
  <si>
    <t>Technical Fit</t>
  </si>
  <si>
    <t>We hold 8(a)/SDVOSB + ITIL v4 + ISO 9001:2015. Existing ServiceNow practice. Solution PowerPoint already vetted by CO.</t>
  </si>
  <si>
    <t>Past Performance</t>
  </si>
  <si>
    <t>3 relevant federal IT past performance refs (DoD), all CPARS Very Good or Exceptional. None at VA — minor gap.</t>
  </si>
  <si>
    <t>Key Personnel</t>
  </si>
  <si>
    <t>Locked in incumbent program manager + 2 of their lead engineers via letter of intent. Resumes 100% aligned to L.3 minimums.</t>
  </si>
  <si>
    <t>Price-to-Win</t>
  </si>
  <si>
    <t>Independent rate research: $97/hr LCAT 3 vs. our $89/hr loaded. Headroom for 8% fee. Risk: option-year escalation.</t>
  </si>
  <si>
    <t>Teaming</t>
  </si>
  <si>
    <t>Teamed with a HUBZone subcontractor for 30% workshare → satisfies subcontracting plan + scores well on small biz participation eval factor.</t>
  </si>
  <si>
    <t>Compliance / Risk</t>
  </si>
  <si>
    <t>No FAR Part 9 issues. Active facility clearance not needed. DCAA-compliant accounting system established 2024.</t>
  </si>
  <si>
    <t>Capture Maturity</t>
  </si>
  <si>
    <t>Pursuit log started 6 months ago. 4 customer touches documented. Win themes finalized. Color team reviews scheduled.</t>
  </si>
  <si>
    <t>Operational Readiness</t>
  </si>
  <si>
    <t>Have 6 trained help-desk techs on bench within 30 miles. Can ramp to full staffing within 14 days of award per ramp plan.</t>
  </si>
  <si>
    <t>Schedule Feasibility</t>
  </si>
  <si>
    <t>60-day proposal window. Compliance matrix built. Draft outlines in place. Internal Pink Team scheduled 2 weeks before due date.</t>
  </si>
  <si>
    <t>Strategic Value (beyond $)</t>
  </si>
  <si>
    <t>First VA win opens VA-wide eligibility + qualifies for VA SAC contract vehicle long-term. Strategic priority for 2026.</t>
  </si>
  <si>
    <t>TOTAL PWin</t>
  </si>
  <si>
    <t>PWin BANDS: ≥70 = bid (high confidence) · 50-69 = conditional bid (close the gaps) · &lt;50 = no-bid OR de-scope</t>
  </si>
  <si>
    <t>NOTES &amp; SOURCES</t>
  </si>
  <si>
    <t>Sources Sought response (date)</t>
  </si>
  <si>
    <t>2026-04-12 — uploaded 8-page response; CO replied within 7 days asking 2 clarifying questions (signal of interest)</t>
  </si>
  <si>
    <t>Industry Day attended</t>
  </si>
  <si>
    <t>2026-04-22 — VHA SDVOSB Industry Day, Phoenix VAMC. Met CO + COR. Asked 3 targeted questions.</t>
  </si>
  <si>
    <t>Incumbent intel sources</t>
  </si>
  <si>
    <t>USAspending.gov (prior obligations), CPARS (past performance ratings), LinkedIn (staff turnover), FOIA (final eval debrief from 2022 award)</t>
  </si>
  <si>
    <t>Rate research sources</t>
  </si>
  <si>
    <t>GSA CALC tool, OPM federal pay tables, 2 local recruiter rate sheets, NDIA labor cost benchmarks FY2025</t>
  </si>
  <si>
    <t>Teaming partner LOI signed</t>
  </si>
  <si>
    <t>2026-05-30 — HUBZone sub for 30% workshare on tier-1 + tier-2 helpdesk roles</t>
  </si>
  <si>
    <t>Key personnel LOIs signed</t>
  </si>
  <si>
    <t>2026-05-15 — incumbent PM (5-year tenure), 2 senior tier-3 engineers</t>
  </si>
  <si>
    <t>Compliance matrix built</t>
  </si>
  <si>
    <t>2026-06-01 — every Section L/M shall, will, must mapped to proposal section</t>
  </si>
  <si>
    <t>Internal review schedule</t>
  </si>
  <si>
    <t>Pink Team 2026-07-15 · Red Team 2026-07-28 · Gold Team 2026-08-08</t>
  </si>
  <si>
    <t>Decision</t>
  </si>
  <si>
    <t>BID — PWin score 78.5 / 100 puts this in the "high confidence" band. Approved by CEO 2026-06-05.</t>
  </si>
  <si>
    <t>This is a worked example showing what a real PWin scoring session looks like. Replace these values with your own opportunity to compute your own PWin.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</si>
</sst>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0F172A"/>
      <sz val="10"/>
      <name val="Calibri"/>
    </font>
    <font>
      <color rgb="FF0F172A"/>
      <sz val="10"/>
      <name val="Calibri"/>
    </font>
    <font>
      <b/>
      <color rgb="FFFFFFFF"/>
      <sz val="10"/>
      <name val="Calibri"/>
    </font>
    <font>
      <b/>
      <color rgb="FFFFFFFF"/>
      <sz val="12"/>
      <name val="Calibri"/>
    </font>
    <font>
      <i/>
      <color rgb="FF0F172A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47857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8" fillId="3" borderId="0" xfId="0" applyFont="1" applyFill="1" applyAlignment="1">
      <alignment horizontal="left" vertical="center" indent="1"/>
    </xf>
    <xf numFmtId="164" fontId="8" fillId="3" borderId="0" xfId="0" applyNumberFormat="1" applyFont="1" applyFill="1" applyAlignment="1">
      <alignment horizontal="center" vertical="center" indent="1"/>
    </xf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1" x14ac:dyDescent="0.25">
      <c r="A6" s="2" t="s">
        <v>10</v>
      </c>
    </row>
    <row r="7" spans="1:1" x14ac:dyDescent="0.25">
      <c r="A7" s="2" t="s">
        <v>11</v>
      </c>
    </row>
    <row r="8" spans="1:1" x14ac:dyDescent="0.25">
      <c r="A8" s="2" t="s">
        <v>12</v>
      </c>
    </row>
    <row r="9" spans="1:1" x14ac:dyDescent="0.25">
      <c r="A9" s="2" t="s">
        <v>13</v>
      </c>
    </row>
    <row r="10" spans="1:1" x14ac:dyDescent="0.25">
      <c r="A10" s="2" t="s">
        <v>14</v>
      </c>
    </row>
    <row r="11" spans="1:1" x14ac:dyDescent="0.25">
      <c r="A11" s="2" t="s">
        <v>15</v>
      </c>
    </row>
    <row r="12" spans="1:1" x14ac:dyDescent="0.25">
      <c r="A1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2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x14ac:dyDescent="0.25">
      <c r="A1" s="3" t="s">
        <v>17</v>
      </c>
      <c r="B1" s="3"/>
    </row>
    <row r="2" ht="22" customHeight="1" spans="1:2" x14ac:dyDescent="0.25">
      <c r="A2" s="4" t="s">
        <v>18</v>
      </c>
      <c r="B2" s="4"/>
    </row>
    <row r="3" spans="1:2" x14ac:dyDescent="0.25">
      <c r="A3" s="5" t="s">
        <v>19</v>
      </c>
      <c r="B3" s="6" t="s">
        <v>20</v>
      </c>
    </row>
    <row r="4" spans="1:2" x14ac:dyDescent="0.25">
      <c r="A4" s="5" t="s">
        <v>21</v>
      </c>
      <c r="B4" s="6" t="s">
        <v>22</v>
      </c>
    </row>
    <row r="5" spans="1:2" x14ac:dyDescent="0.25">
      <c r="A5" s="5" t="s">
        <v>23</v>
      </c>
      <c r="B5" s="6" t="s">
        <v>24</v>
      </c>
    </row>
    <row r="6" spans="1:2" x14ac:dyDescent="0.25">
      <c r="A6" s="5" t="s">
        <v>25</v>
      </c>
      <c r="B6" s="6" t="s">
        <v>26</v>
      </c>
    </row>
    <row r="7" spans="1:2" x14ac:dyDescent="0.25">
      <c r="A7" s="5" t="s">
        <v>27</v>
      </c>
      <c r="B7" s="6" t="s">
        <v>28</v>
      </c>
    </row>
    <row r="8" spans="1:2" x14ac:dyDescent="0.25">
      <c r="A8" s="5" t="s">
        <v>29</v>
      </c>
      <c r="B8" s="6" t="s">
        <v>30</v>
      </c>
    </row>
    <row r="9" spans="1:2" x14ac:dyDescent="0.25">
      <c r="A9" s="5" t="s">
        <v>31</v>
      </c>
      <c r="B9" s="6" t="s">
        <v>32</v>
      </c>
    </row>
    <row r="10" spans="1:2" x14ac:dyDescent="0.25">
      <c r="A10" s="5" t="s">
        <v>33</v>
      </c>
      <c r="B10" s="6" t="s">
        <v>34</v>
      </c>
    </row>
    <row r="11" spans="1:2" x14ac:dyDescent="0.25">
      <c r="A11" s="5" t="s">
        <v>35</v>
      </c>
      <c r="B11" s="6" t="s">
        <v>36</v>
      </c>
    </row>
    <row r="12" spans="1:2" x14ac:dyDescent="0.25">
      <c r="A12" s="5" t="s">
        <v>37</v>
      </c>
      <c r="B12" s="6" t="s">
        <v>38</v>
      </c>
    </row>
    <row r="13" spans="1:2" x14ac:dyDescent="0.25">
      <c r="A13" s="5" t="s">
        <v>39</v>
      </c>
      <c r="B13" s="7" t="s">
        <v>40</v>
      </c>
    </row>
    <row r="14" spans="1:2" x14ac:dyDescent="0.25">
      <c r="A14" s="5" t="s">
        <v>41</v>
      </c>
      <c r="B14" s="6" t="s">
        <v>42</v>
      </c>
    </row>
    <row r="15" spans="1:2" x14ac:dyDescent="0.25">
      <c r="A15" s="5" t="s">
        <v>43</v>
      </c>
      <c r="B15" s="6" t="s">
        <v>44</v>
      </c>
    </row>
    <row r="16" spans="1:2" x14ac:dyDescent="0.25">
      <c r="A16" s="5" t="s">
        <v>45</v>
      </c>
      <c r="B16" s="6" t="s">
        <v>46</v>
      </c>
    </row>
    <row r="18" ht="22" customHeight="1" spans="1:2" x14ac:dyDescent="0.25">
      <c r="A18" s="4" t="s">
        <v>47</v>
      </c>
      <c r="B18" s="4"/>
    </row>
    <row r="19" spans="1:2" x14ac:dyDescent="0.25">
      <c r="A19" s="5" t="s">
        <v>48</v>
      </c>
      <c r="B19" s="6" t="s">
        <v>49</v>
      </c>
    </row>
    <row r="20" spans="1:2" x14ac:dyDescent="0.25">
      <c r="A20" s="5" t="s">
        <v>50</v>
      </c>
      <c r="B20" s="6" t="s">
        <v>51</v>
      </c>
    </row>
    <row r="21" spans="1:2" x14ac:dyDescent="0.25">
      <c r="A21" s="5" t="s">
        <v>52</v>
      </c>
      <c r="B21" s="6" t="s">
        <v>53</v>
      </c>
    </row>
    <row r="22" spans="1:2" x14ac:dyDescent="0.25">
      <c r="A22" s="5" t="s">
        <v>54</v>
      </c>
      <c r="B22" s="6" t="s">
        <v>55</v>
      </c>
    </row>
  </sheetData>
  <mergeCells count="3">
    <mergeCell ref="A1:B1"/>
    <mergeCell ref="A2:B2"/>
    <mergeCell ref="A18:B18"/>
  </mergeCells>
  <pageMargins left="0.5" right="0.5" top="0.75" bottom="0.75" header="0.3" footer="0.3"/>
  <pageSetup orientation="portrait" horizontalDpi="4294967295" verticalDpi="4294967295" scale="100" fitToWidth="1" fitToHeight="0"/>
  <headerFooter>
    <oddFooter>&amp;LCapturePilot · Federal Launch Kit&amp;Ccapturepilot.com&amp;R04 — PWin Worked Example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10" customWidth="1"/>
    <col min="4" max="4" width="8" customWidth="1"/>
    <col min="5" max="5" width="10" customWidth="1"/>
    <col min="6" max="6" width="50" customWidth="1"/>
  </cols>
  <sheetData>
    <row r="1" ht="32" customHeight="1" spans="1:6" x14ac:dyDescent="0.25">
      <c r="A1" s="3" t="s">
        <v>56</v>
      </c>
      <c r="B1" s="3"/>
      <c r="C1" s="3"/>
      <c r="D1" s="3"/>
      <c r="E1" s="3"/>
      <c r="F1" s="3"/>
    </row>
    <row r="2" ht="22" customHeight="1" spans="1:6" x14ac:dyDescent="0.25">
      <c r="A2" s="8" t="s">
        <v>57</v>
      </c>
      <c r="B2" s="8" t="s">
        <v>58</v>
      </c>
      <c r="C2" s="8" t="s">
        <v>59</v>
      </c>
      <c r="D2" s="8" t="s">
        <v>0</v>
      </c>
      <c r="E2" s="8" t="s">
        <v>60</v>
      </c>
      <c r="F2" s="8" t="s">
        <v>61</v>
      </c>
    </row>
    <row r="3" ht="28" customHeight="1" spans="1:6" x14ac:dyDescent="0.25">
      <c r="A3" s="9">
        <v>1</v>
      </c>
      <c r="B3" s="9" t="s">
        <v>62</v>
      </c>
      <c r="C3" s="10">
        <v>0.12</v>
      </c>
      <c r="D3" s="9">
        <v>8</v>
      </c>
      <c r="E3" s="11">
        <f>C3*D3*10</f>
        <v>9.6</v>
      </c>
      <c r="F3" s="12" t="s">
        <v>63</v>
      </c>
    </row>
    <row r="4" ht="28" customHeight="1" spans="1:6" x14ac:dyDescent="0.25">
      <c r="A4" s="9">
        <v>2</v>
      </c>
      <c r="B4" s="9" t="s">
        <v>64</v>
      </c>
      <c r="C4" s="10">
        <v>0.1</v>
      </c>
      <c r="D4" s="9">
        <v>9</v>
      </c>
      <c r="E4" s="11">
        <f>C4*D4*10</f>
        <v>9</v>
      </c>
      <c r="F4" s="12" t="s">
        <v>65</v>
      </c>
    </row>
    <row r="5" ht="28" customHeight="1" spans="1:6" x14ac:dyDescent="0.25">
      <c r="A5" s="9">
        <v>3</v>
      </c>
      <c r="B5" s="9" t="s">
        <v>66</v>
      </c>
      <c r="C5" s="10">
        <v>0.15</v>
      </c>
      <c r="D5" s="9">
        <v>8</v>
      </c>
      <c r="E5" s="11">
        <f>C5*D5*10</f>
        <v>12</v>
      </c>
      <c r="F5" s="12" t="s">
        <v>67</v>
      </c>
    </row>
    <row r="6" ht="28" customHeight="1" spans="1:6" x14ac:dyDescent="0.25">
      <c r="A6" s="9">
        <v>4</v>
      </c>
      <c r="B6" s="9" t="s">
        <v>68</v>
      </c>
      <c r="C6" s="10">
        <v>0.12</v>
      </c>
      <c r="D6" s="9">
        <v>7</v>
      </c>
      <c r="E6" s="11">
        <f>C6*D6*10</f>
        <v>8.4</v>
      </c>
      <c r="F6" s="12" t="s">
        <v>69</v>
      </c>
    </row>
    <row r="7" ht="42" customHeight="1" spans="1:6" x14ac:dyDescent="0.25">
      <c r="A7" s="9">
        <v>5</v>
      </c>
      <c r="B7" s="9" t="s">
        <v>70</v>
      </c>
      <c r="C7" s="10">
        <v>0.1</v>
      </c>
      <c r="D7" s="9">
        <v>9</v>
      </c>
      <c r="E7" s="11">
        <f>C7*D7*10</f>
        <v>9</v>
      </c>
      <c r="F7" s="12" t="s">
        <v>71</v>
      </c>
    </row>
    <row r="8" ht="28" customHeight="1" spans="1:6" x14ac:dyDescent="0.25">
      <c r="A8" s="9">
        <v>6</v>
      </c>
      <c r="B8" s="9" t="s">
        <v>72</v>
      </c>
      <c r="C8" s="10">
        <v>0.15</v>
      </c>
      <c r="D8" s="9">
        <v>7</v>
      </c>
      <c r="E8" s="11">
        <f>C8*D8*10</f>
        <v>10.5</v>
      </c>
      <c r="F8" s="12" t="s">
        <v>73</v>
      </c>
    </row>
    <row r="9" ht="42" customHeight="1" spans="1:6" x14ac:dyDescent="0.25">
      <c r="A9" s="9">
        <v>7</v>
      </c>
      <c r="B9" s="9" t="s">
        <v>74</v>
      </c>
      <c r="C9" s="10">
        <v>0.08</v>
      </c>
      <c r="D9" s="9">
        <v>9</v>
      </c>
      <c r="E9" s="11">
        <f>C9*D9*10</f>
        <v>7.2</v>
      </c>
      <c r="F9" s="12" t="s">
        <v>75</v>
      </c>
    </row>
    <row r="10" ht="28" customHeight="1" spans="1:6" x14ac:dyDescent="0.25">
      <c r="A10" s="9">
        <v>8</v>
      </c>
      <c r="B10" s="9" t="s">
        <v>76</v>
      </c>
      <c r="C10" s="10">
        <v>0.1</v>
      </c>
      <c r="D10" s="9">
        <v>9</v>
      </c>
      <c r="E10" s="11">
        <f>C10*D10*10</f>
        <v>9</v>
      </c>
      <c r="F10" s="12" t="s">
        <v>77</v>
      </c>
    </row>
    <row r="11" ht="28" customHeight="1" spans="1:6" x14ac:dyDescent="0.25">
      <c r="A11" s="9">
        <v>9</v>
      </c>
      <c r="B11" s="9" t="s">
        <v>78</v>
      </c>
      <c r="C11" s="10">
        <v>0.08</v>
      </c>
      <c r="D11" s="9">
        <v>8</v>
      </c>
      <c r="E11" s="11">
        <f>C11*D11*10</f>
        <v>6.4</v>
      </c>
      <c r="F11" s="12" t="s">
        <v>79</v>
      </c>
    </row>
    <row r="12" ht="42" customHeight="1" spans="1:6" x14ac:dyDescent="0.25">
      <c r="A12" s="9">
        <v>10</v>
      </c>
      <c r="B12" s="9" t="s">
        <v>80</v>
      </c>
      <c r="C12" s="10">
        <v>0.1</v>
      </c>
      <c r="D12" s="9">
        <v>8</v>
      </c>
      <c r="E12" s="11">
        <f>C12*D12*10</f>
        <v>8</v>
      </c>
      <c r="F12" s="12" t="s">
        <v>81</v>
      </c>
    </row>
    <row r="13" ht="42" customHeight="1" spans="1:6" x14ac:dyDescent="0.25">
      <c r="A13" s="9">
        <v>11</v>
      </c>
      <c r="B13" s="9" t="s">
        <v>82</v>
      </c>
      <c r="C13" s="10">
        <v>0.05</v>
      </c>
      <c r="D13" s="9">
        <v>9</v>
      </c>
      <c r="E13" s="11">
        <f>C13*D13*10</f>
        <v>4.5</v>
      </c>
      <c r="F13" s="12" t="s">
        <v>83</v>
      </c>
    </row>
    <row r="14" ht="28" customHeight="1" spans="1:6" x14ac:dyDescent="0.25">
      <c r="A14" s="9">
        <v>12</v>
      </c>
      <c r="B14" s="9" t="s">
        <v>84</v>
      </c>
      <c r="C14" s="10">
        <v>0.05</v>
      </c>
      <c r="D14" s="9">
        <v>7</v>
      </c>
      <c r="E14" s="11">
        <f>C14*D14*10</f>
        <v>3.5</v>
      </c>
      <c r="F14" s="12" t="s">
        <v>85</v>
      </c>
    </row>
    <row r="15" ht="32" customHeight="1" spans="1:6" x14ac:dyDescent="0.25">
      <c r="A15" s="13"/>
      <c r="B15" s="13" t="s">
        <v>86</v>
      </c>
      <c r="C15" s="13"/>
      <c r="D15" s="13"/>
      <c r="E15" s="14">
        <f>SUMPRODUCT(C3:C14,D3:D14)*10</f>
        <v>97.10000000000001</v>
      </c>
      <c r="F15" s="13"/>
    </row>
    <row r="17" ht="22" customHeight="1" spans="1:6" x14ac:dyDescent="0.25">
      <c r="A17" s="15" t="s">
        <v>87</v>
      </c>
      <c r="B17" s="15"/>
      <c r="C17" s="15"/>
      <c r="D17" s="15"/>
      <c r="E17" s="15"/>
      <c r="F17" s="15"/>
    </row>
  </sheetData>
  <mergeCells count="2">
    <mergeCell ref="A1:F1"/>
    <mergeCell ref="A17:F17"/>
  </mergeCells>
  <dataValidations count="2">
    <dataValidation type="list" showErrorMessage="1" errorTitle="Invalid" error="Pick 0-10" sqref="D10:D14">
      <formula1>ScoreZeroToTen</formula1>
    </dataValidation>
    <dataValidation type="list" showErrorMessage="1" errorTitle="Invalid" error="Pick 0-10" sqref="D3:D14">
      <formula1>ScoreZeroToTen</formula1>
    </dataValidation>
  </dataValidations>
  <pageMargins left="0.5" right="0.5" top="0.75" bottom="0.75" header="0.3" footer="0.3"/>
  <pageSetup orientation="portrait" horizontalDpi="4294967295" verticalDpi="4294967295" scale="100" fitToWidth="1" fitToHeight="0"/>
  <headerFooter>
    <oddFooter>&amp;LCapturePilot · Federal Launch Kit&amp;Ccapturepilot.com&amp;R04 — PWin Worked Example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x14ac:dyDescent="0.25">
      <c r="A1" s="3" t="s">
        <v>88</v>
      </c>
      <c r="B1" s="3"/>
    </row>
    <row r="3" spans="1:2" x14ac:dyDescent="0.25">
      <c r="A3" s="5" t="s">
        <v>89</v>
      </c>
      <c r="B3" s="6" t="s">
        <v>90</v>
      </c>
    </row>
    <row r="4" spans="1:2" x14ac:dyDescent="0.25">
      <c r="A4" s="5" t="s">
        <v>91</v>
      </c>
      <c r="B4" s="6" t="s">
        <v>92</v>
      </c>
    </row>
    <row r="5" spans="1:2" x14ac:dyDescent="0.25">
      <c r="A5" s="5" t="s">
        <v>93</v>
      </c>
      <c r="B5" s="6" t="s">
        <v>94</v>
      </c>
    </row>
    <row r="6" spans="1:2" x14ac:dyDescent="0.25">
      <c r="A6" s="5" t="s">
        <v>95</v>
      </c>
      <c r="B6" s="6" t="s">
        <v>96</v>
      </c>
    </row>
    <row r="7" spans="1:2" x14ac:dyDescent="0.25">
      <c r="A7" s="5" t="s">
        <v>97</v>
      </c>
      <c r="B7" s="6" t="s">
        <v>98</v>
      </c>
    </row>
    <row r="8" spans="1:2" x14ac:dyDescent="0.25">
      <c r="A8" s="5" t="s">
        <v>99</v>
      </c>
      <c r="B8" s="6" t="s">
        <v>100</v>
      </c>
    </row>
    <row r="9" spans="1:2" x14ac:dyDescent="0.25">
      <c r="A9" s="5" t="s">
        <v>101</v>
      </c>
      <c r="B9" s="6" t="s">
        <v>102</v>
      </c>
    </row>
    <row r="10" spans="1:2" x14ac:dyDescent="0.25">
      <c r="A10" s="5" t="s">
        <v>103</v>
      </c>
      <c r="B10" s="6" t="s">
        <v>104</v>
      </c>
    </row>
    <row r="11" spans="1:2" x14ac:dyDescent="0.25">
      <c r="A11" s="5" t="s">
        <v>105</v>
      </c>
      <c r="B11" s="6" t="s">
        <v>106</v>
      </c>
    </row>
    <row r="12" ht="40" customHeight="1" spans="1:2" x14ac:dyDescent="0.25">
      <c r="A12" s="16" t="s">
        <v>107</v>
      </c>
      <c r="B12" s="16"/>
    </row>
  </sheetData>
  <mergeCells count="2">
    <mergeCell ref="A1:B1"/>
    <mergeCell ref="A12:B12"/>
  </mergeCells>
  <pageMargins left="0.5" right="0.5" top="0.75" bottom="0.75" header="0.3" footer="0.3"/>
  <pageSetup orientation="portrait" horizontalDpi="4294967295" verticalDpi="4294967295" scale="100" fitToWidth="1" fitToHeight="0"/>
  <headerFooter>
    <oddFooter>&amp;LCapturePilot · Federal Launch Kit&amp;Ccapturepilot.com&amp;R04 — PWin Worked Example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Opportunity</vt:lpstr>
      <vt:lpstr>PWin Scoring</vt:lpstr>
      <vt:lpstr>Notes &amp; Sources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/>
  <dc:subject/>
  <dc:description/>
  <cp:keywords/>
  <cp:category/>
  <cp:lastModifiedBy>Unknown</cp:lastModifiedBy>
  <dcterms:created xsi:type="dcterms:W3CDTF">2026-06-09T00:00:00Z</dcterms:created>
  <dcterms:modified xsi:type="dcterms:W3CDTF">2026-06-09T00:00:00Z</dcterms:modified>
</cp:coreProperties>
</file>