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Section L Matrix" state="visible" r:id="rId5"/>
    <sheet sheetId="3" name="Section M Alignment" state="visible" r:id="rId6"/>
    <sheet sheetId="4" name="Submission Checklist" state="visible" r:id="rId7"/>
    <sheet sheetId="5" name="Help" state="visible" r:id="rId8"/>
  </sheets>
  <definedNames>
    <definedName name="SolNum">'Section L Matrix'!$C$3</definedName>
    <definedName name="RfpRelease">'Section L Matrix'!$C$4</definedName>
    <definedName name="DueDate">'Section L Matrix'!$C$5</definedName>
    <definedName name="PropMgr">'Section L Matrix'!$C$6</definedName>
    <definedName name="LastUpdated">'Section L Matrix'!$C$7</definedName>
  </definedNames>
  <calcPr calcId="171027"/>
</workbook>
</file>

<file path=xl/sharedStrings.xml><?xml version="1.0" encoding="utf-8"?>
<sst xmlns="http://schemas.openxmlformats.org/spreadsheetml/2006/main" count="861" uniqueCount="258">
  <si>
    <t>PROPOSAL COMPLIANCE MATRIX — HOW TO USE</t>
  </si>
  <si>
    <t>Tracks every Section L instruction and Section M evaluation factor so nothing slips between RFP release and submission. Built for owners with a proposal due in 30 days and zero government bid experience.</t>
  </si>
  <si>
    <t>1. Setup</t>
  </si>
  <si>
    <t>Open Section L Matrix tab. Fill in the solicitation number, RFP release date, due date, proposal manager, and last-updated date at the top. The Completion Summary auto-counts the rest.</t>
  </si>
  <si>
    <t>2. Section L</t>
  </si>
  <si>
    <t>Read Section L of the RFP line by line. Add one row per instruction (e.g. L.4.1, L.4.1.1, L.5.2). Paste the exact text — don't paraphrase. Assign a writer. Pick a status from the dropdown. Anything left as 'Not Started' 72 hours before Gold Team is a blocker.</t>
  </si>
  <si>
    <t>3. Section M</t>
  </si>
  <si>
    <t>Open Section M Alignment tab. List every evaluation factor and sub-factor. Write a real discriminator in column D — 'We have experience' isn't one. 'We reduced system downtime by 34% on Contract X' is. Pink Team scores it 1-5, Red Team scores it 1-5, the gap column flags weak factors.</t>
  </si>
  <si>
    <t>4. Submission Checklist</t>
  </si>
  <si>
    <t>Open Submission Checklist tab 24-48 hours before the deadline. Walk every line top to bottom with the proposal manager. Anything Failing or N/A needs a note. The sign-off row at the bottom is the go/no-go.</t>
  </si>
  <si>
    <t>5. Help</t>
  </si>
  <si>
    <t>Open Help tab for a worked example based on a real Army janitorial RFP. Shows what good rows look like and what 'Reviewed' really means.</t>
  </si>
  <si>
    <t>STATUS LEGEND</t>
  </si>
  <si>
    <t>Not Started</t>
  </si>
  <si>
    <t>Section has no writer or no draft. Check every day during the Proposal Development Period.</t>
  </si>
  <si>
    <t>In Draft</t>
  </si>
  <si>
    <t>Writer has started but not finished. Flag if stuck more than 24 hours.</t>
  </si>
  <si>
    <t>Complete</t>
  </si>
  <si>
    <t>Writer says they are done. Section is ready for color team review.</t>
  </si>
  <si>
    <t>Reviewed</t>
  </si>
  <si>
    <t>Color team has read it and the writer has incorporated comments. This is the only status that counts at Gold Team.</t>
  </si>
  <si>
    <t>Missing</t>
  </si>
  <si>
    <t>Section L instruction exists in the RFP but no proposal section addresses it. Compliance gap. Fix it today.</t>
  </si>
  <si>
    <t>Critical rule: every row in the Section L Matrix must reach 'Reviewed' before Gold Team review. Any 'Not Started' or 'Missing' at Gold Team is a go/no-go blocker. The proposal manager owns this — not the writers, not the reviewers.</t>
  </si>
  <si>
    <t>Operator note (Andre): boarding at 04:00 with incomplete intel, we learned to track every requirement on a single sheet because once you're on deck nobody has time to flip through binders. Same logic here. One sheet. Every L. Every M. If it isn't on the matrix it doesn't exist.</t>
  </si>
  <si>
    <t>SECTION L COMPLIANCE MATRIX</t>
  </si>
  <si>
    <t>One row per Section L instruction. Every row must reach 'Reviewed' before Gold Team. Paste exact RFP text — paraphrasing misses sub-requirements.</t>
  </si>
  <si>
    <t>Solicitation #:</t>
  </si>
  <si>
    <t>COMPLETION SUMMARY</t>
  </si>
  <si>
    <t>Count</t>
  </si>
  <si>
    <t>%</t>
  </si>
  <si>
    <t>Status</t>
  </si>
  <si>
    <t>RFP Release Date:</t>
  </si>
  <si>
    <t>Total instructions logged</t>
  </si>
  <si>
    <t/>
  </si>
  <si>
    <t>Proposal Due Date:</t>
  </si>
  <si>
    <t>Proposal Manager:</t>
  </si>
  <si>
    <t>Complete (not reviewed)</t>
  </si>
  <si>
    <t>Last Updated:</t>
  </si>
  <si>
    <t>In Draft + Not Started</t>
  </si>
  <si>
    <t>Missing (compliance gap)</t>
  </si>
  <si>
    <t>Critical priority still open</t>
  </si>
  <si>
    <t>Google Sheets: cells render as native checkboxes. Excel 365: cells render as boolean dropdowns; right-click &gt; Format Cell &gt; Checkbox to convert. Older Excel: cells show as TRUE/FALSE dropdowns.</t>
  </si>
  <si>
    <t xml:space="preserve">RFP Reference
(L.X.X)</t>
  </si>
  <si>
    <t xml:space="preserve">Instruction / Requirement
(paste exact RFP text)</t>
  </si>
  <si>
    <t>Volume</t>
  </si>
  <si>
    <t>Proposal Section</t>
  </si>
  <si>
    <t>Page #</t>
  </si>
  <si>
    <t xml:space="preserve">Page Limit
Impact?</t>
  </si>
  <si>
    <t>Writer / Owner</t>
  </si>
  <si>
    <t>Priority</t>
  </si>
  <si>
    <t>Notes / Open Questions</t>
  </si>
  <si>
    <t>Status (asset-spec)</t>
  </si>
  <si>
    <t>Compliant?</t>
  </si>
  <si>
    <t>VOLUME I — TECHNICAL</t>
  </si>
  <si>
    <t>L.4.1</t>
  </si>
  <si>
    <t>The offeror shall describe its technical approach to accomplishing all tasks in the Performance Work Statement (PWS). The description shall address each PWS task area.</t>
  </si>
  <si>
    <t>Technical</t>
  </si>
  <si>
    <t>Section 2.0 — Technical Approach</t>
  </si>
  <si>
    <t>Y</t>
  </si>
  <si>
    <t>Critical</t>
  </si>
  <si>
    <t>L.4.1.1</t>
  </si>
  <si>
    <t>Describe the methodology and tools used for the primary service area. Include data flow diagrams where applicable.</t>
  </si>
  <si>
    <t>Section 2.1 — Methodology</t>
  </si>
  <si>
    <t>L.4.1.2</t>
  </si>
  <si>
    <t>Identify risks to performance and describe specific mitigation strategies.</t>
  </si>
  <si>
    <t>Section 2.4 — Risk Management</t>
  </si>
  <si>
    <t>High</t>
  </si>
  <si>
    <t>L.4.1.3</t>
  </si>
  <si>
    <t>Describe any innovative approaches, automation, or technology differentiators.</t>
  </si>
  <si>
    <t>Section 2.5 — Innovation</t>
  </si>
  <si>
    <t>L.4.2</t>
  </si>
  <si>
    <t>Provide a transition plan for assuming responsibility from the incumbent, including a detailed schedule with milestones for the first 90 days.</t>
  </si>
  <si>
    <t>Section 2.6 — Transition Plan</t>
  </si>
  <si>
    <t>L.4.3</t>
  </si>
  <si>
    <t>Provide a Quality Control Plan addressing how the offeror will monitor and measure performance against the PWS metrics.</t>
  </si>
  <si>
    <t>Section 2.7 — Quality Control</t>
  </si>
  <si>
    <t>VOLUME II — MANAGEMENT</t>
  </si>
  <si>
    <t>L.5.1</t>
  </si>
  <si>
    <t>Provide an organizational chart showing all proposed key and non-key personnel, their roles, and reporting structure.</t>
  </si>
  <si>
    <t>Management</t>
  </si>
  <si>
    <t>Section 3.1 — Organization</t>
  </si>
  <si>
    <t>L.5.2</t>
  </si>
  <si>
    <t>Provide resumes for all Key Personnel named in Section J. Resumes must be limited to 2 pages per individual.</t>
  </si>
  <si>
    <t>Attachment A — Resumes</t>
  </si>
  <si>
    <t>N</t>
  </si>
  <si>
    <t>L.5.3</t>
  </si>
  <si>
    <t>Describe the management approach, including how the Program Manager will interface with the Contracting Officer's Representative (COR).</t>
  </si>
  <si>
    <t>Section 3.2 — Management Approach</t>
  </si>
  <si>
    <t>L.5.4</t>
  </si>
  <si>
    <t>If any work will be subcontracted, identify proposed subcontractors and their roles, qualifications, and percentage of work.</t>
  </si>
  <si>
    <t>Section 3.4 — Subcontracting</t>
  </si>
  <si>
    <t>L.5.5</t>
  </si>
  <si>
    <t>Provide a staffing plan addressing how key vacancies will be filled and how retention will be maintained.</t>
  </si>
  <si>
    <t>Section 3.3 — Staffing Plan</t>
  </si>
  <si>
    <t>VOLUME III — PAST PERFORMANCE</t>
  </si>
  <si>
    <t>L.6.1</t>
  </si>
  <si>
    <t>Provide no more than X relevant past performance references for work of a similar nature, scope, and complexity completed within the past 5 years. Each reference shall be no longer than X pages.</t>
  </si>
  <si>
    <t>Past Performance</t>
  </si>
  <si>
    <t>Section 4.0 — Past Performance</t>
  </si>
  <si>
    <t>L.6.1.1</t>
  </si>
  <si>
    <t>For each reference, provide: contract number, award amount, period of performance, customer name, and a current POC with phone number and email.</t>
  </si>
  <si>
    <t>Section 4.0 — PP References</t>
  </si>
  <si>
    <t>L.6.1.2</t>
  </si>
  <si>
    <t>Describe the scope of work performed, similarities to the current requirement, and key outcomes achieved.</t>
  </si>
  <si>
    <t>Section 4.0 — PP Narratives</t>
  </si>
  <si>
    <t>L.6.2</t>
  </si>
  <si>
    <t>If offeror does not have directly relevant federal past performance, describe relevant commercial or subcontract experience.</t>
  </si>
  <si>
    <t>Section 4.1 — Commercial Analogues</t>
  </si>
  <si>
    <t>Medium</t>
  </si>
  <si>
    <t>VOLUME IV — PRICE / COST</t>
  </si>
  <si>
    <t>L.7.1</t>
  </si>
  <si>
    <t>Complete the pricing schedule (Schedule B / CLIN structure) in the format provided as Attachment X to Section J.</t>
  </si>
  <si>
    <t>Price</t>
  </si>
  <si>
    <t>Attachment B — Pricing Schedule</t>
  </si>
  <si>
    <t>L.7.2</t>
  </si>
  <si>
    <t>Provide a Basis of Estimate (BOE) for each CLIN, identifying the labor categories, hours, and rates proposed.</t>
  </si>
  <si>
    <t>Price Narrative — BOE</t>
  </si>
  <si>
    <t>L.7.3</t>
  </si>
  <si>
    <t>Provide a complete listing of proposed labor categories, associated labor rates by year, and narrative justification for each rate.</t>
  </si>
  <si>
    <t>Price Narrative — Labor Rates</t>
  </si>
  <si>
    <t>L.7.4</t>
  </si>
  <si>
    <t>Certify that all cost or pricing data submitted are accurate, complete, and current as of the date of agreement on price (if CAS/TINA applies).</t>
  </si>
  <si>
    <t>Price Certification</t>
  </si>
  <si>
    <t>SECTION J — ATTACHMENTS / ADMIN</t>
  </si>
  <si>
    <t>L.3.1</t>
  </si>
  <si>
    <t>Complete, sign, and return Representations and Certifications (FAR 52.204-8) as part of the proposal.</t>
  </si>
  <si>
    <t>Admin</t>
  </si>
  <si>
    <t>Attachment — Reps &amp; Certs</t>
  </si>
  <si>
    <t>L.3.2</t>
  </si>
  <si>
    <t>Complete and sign SF-33 (if applicable) or provide the required cover page per Section L instructions.</t>
  </si>
  <si>
    <t>Cover Page / SF-33</t>
  </si>
  <si>
    <t>L.3.3</t>
  </si>
  <si>
    <t>Provide proof of active SAM.gov registration.</t>
  </si>
  <si>
    <t>Admin Volume / Cover</t>
  </si>
  <si>
    <t>SECTION M ALIGNMENT — EVALUATION FACTORS &amp; DISCRIMINATORS</t>
  </si>
  <si>
    <t>Map each Section M evaluation factor to your proposal sections. Column D is the discriminator that makes you the best-value choice. 'We have experience' is not a discriminator.</t>
  </si>
  <si>
    <t>SCORING SUMMARY (auto-calculates)</t>
  </si>
  <si>
    <t>Pink Avg</t>
  </si>
  <si>
    <t>Red Avg</t>
  </si>
  <si>
    <t>Avg Gap</t>
  </si>
  <si>
    <t>Average across all rated factors (rows 6 to 100). Blanks ignored.</t>
  </si>
  <si>
    <t xml:space="preserve">Eval Factor / Sub-Factor
(Section M reference)</t>
  </si>
  <si>
    <t xml:space="preserve">Relative
Importance</t>
  </si>
  <si>
    <t>Proposal Section(s) Addressing This Factor</t>
  </si>
  <si>
    <t>Key Win Theme / Discriminator</t>
  </si>
  <si>
    <t xml:space="preserve">Proof Points
(past perf / metrics)</t>
  </si>
  <si>
    <t xml:space="preserve">Pink Team
Score (1-5)</t>
  </si>
  <si>
    <t xml:space="preserve">Red Team
Score (1-5)</t>
  </si>
  <si>
    <t xml:space="preserve">Gap
(Red - Pink)</t>
  </si>
  <si>
    <t>Gap / Open Issue</t>
  </si>
  <si>
    <t>Owner</t>
  </si>
  <si>
    <t>FACTOR 1: TECHNICAL APPROACH</t>
  </si>
  <si>
    <t>1.1  Understanding of Requirements</t>
  </si>
  <si>
    <t>Most Important</t>
  </si>
  <si>
    <t>1.2  Technical Methodology</t>
  </si>
  <si>
    <t>1.3  Innovation / Unique Technical Approach</t>
  </si>
  <si>
    <t>Important</t>
  </si>
  <si>
    <t>1.4  Risk Management</t>
  </si>
  <si>
    <t>FACTOR 2: MANAGEMENT APPROACH</t>
  </si>
  <si>
    <t>2.1  Program Management Plan</t>
  </si>
  <si>
    <t>2.2  Key Personnel Qualifications</t>
  </si>
  <si>
    <t>2.3  Staffing Plan and Retention</t>
  </si>
  <si>
    <t>2.4  Subcontracting / Teaming Strategy</t>
  </si>
  <si>
    <t>Less Important</t>
  </si>
  <si>
    <t>FACTOR 3: PAST PERFORMANCE</t>
  </si>
  <si>
    <t>3.1  Relevance of Past Performance</t>
  </si>
  <si>
    <t>3.2  Quality of Past Performance (CPARS)</t>
  </si>
  <si>
    <t>3.3  Past Performance of Key Subs</t>
  </si>
  <si>
    <t>FACTOR 4: PRICE / COST (separately evaluated)</t>
  </si>
  <si>
    <t>4.1  Total Evaluated Price</t>
  </si>
  <si>
    <t>N/A — Evaluated separately</t>
  </si>
  <si>
    <t>4.2  Price Realism / Reasonableness</t>
  </si>
  <si>
    <t>Key rule: every evaluation factor needs an explicit discriminator in Column D. 'We have experience' is not a discriminator. 'We reduced system downtime by 34% on Contract HQ0034-22-C-0017' is. If you can't write one, you don't have one yet — and that's a capture gap, not a writing gap.</t>
  </si>
  <si>
    <t>FINAL SUBMISSION CHECKLIST — RUN 24-48 HOURS BEFORE DEADLINE</t>
  </si>
  <si>
    <t>Every item must read PASS before submission. Anything else needs a note explaining why. The proposal manager owns the sign-off row at the bottom.</t>
  </si>
  <si>
    <t>CHECKLIST PROGRESS (auto)</t>
  </si>
  <si>
    <t>Pass</t>
  </si>
  <si>
    <t>Fail</t>
  </si>
  <si>
    <t>N/A</t>
  </si>
  <si>
    <t>Go/No-Go</t>
  </si>
  <si>
    <t>Counts run across rows 6 to 60.</t>
  </si>
  <si>
    <t>Category</t>
  </si>
  <si>
    <t>Check Item</t>
  </si>
  <si>
    <t>Pass / Fail / N/A</t>
  </si>
  <si>
    <t>Verified By</t>
  </si>
  <si>
    <t>Time Verified</t>
  </si>
  <si>
    <t>Notes</t>
  </si>
  <si>
    <t>PAGE LIMITS</t>
  </si>
  <si>
    <t>Page Limits</t>
  </si>
  <si>
    <t>Page count verified against Section L limits — EVERY volume separately</t>
  </si>
  <si>
    <t>Cover pages, TOC, resumes, and required forms excluded per RFP instructions</t>
  </si>
  <si>
    <t>FORMAT</t>
  </si>
  <si>
    <t>Format</t>
  </si>
  <si>
    <t>Font type and size match Section L requirements throughout every volume</t>
  </si>
  <si>
    <t>Margins are correct (typically 1 inch) — verified on every page including headers/footers</t>
  </si>
  <si>
    <t>Headers/footers include required fields: solicitation #, offeror name, volume name, page #</t>
  </si>
  <si>
    <t>All pages are numbered within each volume (re-starts at 1 for each volume if required)</t>
  </si>
  <si>
    <t>SECTION L COMPLIANCE</t>
  </si>
  <si>
    <t>Section L</t>
  </si>
  <si>
    <t>Section L compliance matrix shows 'Reviewed' status for every instruction row</t>
  </si>
  <si>
    <t>Every 'Complete' item has been reviewed by at least one reviewer other than the writer</t>
  </si>
  <si>
    <t>SECTION M ALIGNMENT</t>
  </si>
  <si>
    <t>Section M</t>
  </si>
  <si>
    <t>Every evaluation factor has an explicit discriminator stated in the proposal</t>
  </si>
  <si>
    <t>ATTACHMENTS</t>
  </si>
  <si>
    <t>Attachments</t>
  </si>
  <si>
    <t>All Section J attachments are present, signed, and dated (SF-33, SF-1449, Reps &amp; Certs)</t>
  </si>
  <si>
    <t>Key personnel letters of commitment are signed and included</t>
  </si>
  <si>
    <t>Teaming/subcontractor agreements are included (if required by RFP)</t>
  </si>
  <si>
    <t>Past performance POC names and phone numbers are verified as current (call them)</t>
  </si>
  <si>
    <t>PRICING</t>
  </si>
  <si>
    <t>Pricing</t>
  </si>
  <si>
    <t>Price/cost schedule math verified — all CLINs sum to correct totals</t>
  </si>
  <si>
    <t>Pricing format matches Schedule B / CLIN structure exactly (no added or missing CLINs)</t>
  </si>
  <si>
    <t>Unit prices, quantities, and evaluated prices are consistent with technical assumptions</t>
  </si>
  <si>
    <t>Multi-year escalation applied correctly (verify against Wage Determination years if SCA)</t>
  </si>
  <si>
    <t>SUBMISSION</t>
  </si>
  <si>
    <t>Submission</t>
  </si>
  <si>
    <t>Submission method confirmed in writing (SAM.gov portal / email / hand delivery / mail)</t>
  </si>
  <si>
    <t>File names comply with RFP naming conventions (exact format)</t>
  </si>
  <si>
    <t>File sizes are within any portal upload limits — tested with a dummy upload if uncertain</t>
  </si>
  <si>
    <t>Submission deadline verified including TIME ZONE (Eastern Time applies to most federal solicitations)</t>
  </si>
  <si>
    <t>Late submission contingency plan documented (alternate submitter identified)</t>
  </si>
  <si>
    <t>Confirmation of receipt mechanism understood — screenshot / email / portal confirmation expected</t>
  </si>
  <si>
    <t>PROOFING</t>
  </si>
  <si>
    <t>Proofing</t>
  </si>
  <si>
    <t>Spell check and grammar check completed — proposal manager sign-off confirmed</t>
  </si>
  <si>
    <t>No placeholder text remains ([INSERT], TBD, XXXX, [Client Name]) in any volume</t>
  </si>
  <si>
    <t>No prior client or competitor names from boilerplate (search for common names)</t>
  </si>
  <si>
    <t>All cross-references (see Section X, Figure Y, Attachment Z) are verified as accurate</t>
  </si>
  <si>
    <t>SIGN-OFF: Proposal Manager  ______________________________   Date / Time  ______________________________   All Critical items confirmed PASS.</t>
  </si>
  <si>
    <t>WORKED EXAMPLE — ARMY JANITORIAL RFP</t>
  </si>
  <si>
    <t>Real-world example based on a Fort Bragg janitorial sources sought (NAICS 561720). Shows what a good Section L row and a good Section M discriminator look like — and what 'Reviewed' actually means in practice.</t>
  </si>
  <si>
    <t>Section L row — good vs bad</t>
  </si>
  <si>
    <t>•</t>
  </si>
  <si>
    <t>Bad: RFP Ref = 'L.4', Instruction = 'technical stuff', Section = 'Tech', Status = 'In Draft', Notes = blank.</t>
  </si>
  <si>
    <t>Good: RFP Ref = 'L.4.1.2', Instruction = 'Identify risks to performance and describe specific mitigation strategies' (exact quote), Volume = Technical, Section = '2.4 Risk Management', Page = 14, Writer = 'M. Hernandez', Status = 'Reviewed', Priority = High, Notes = 'Linked to L.4.2 transition plan; mitigation matrix on p.15'.</t>
  </si>
  <si>
    <t>What makes the good one work: exact RFP citation, exact RFP language, real human owner, cross-reference to related sections, real page number once draft exists.</t>
  </si>
  <si>
    <t>Section M discriminator — good vs bad</t>
  </si>
  <si>
    <t>Bad: 'We have experience with federal janitorial.' (Every offeror writes this. Zero discrimination.)</t>
  </si>
  <si>
    <t>Good: 'Same crew that ran Fort Stewart custodial (W912HN-22-C-0014) — 96.3% CPARS rating across 18 months, zero customer complaints, completed first-day phase-in with full crew.' (Specific contract, specific number, specific outcome.)</t>
  </si>
  <si>
    <t>Better: same line plus a proof point in column E: 'CPARS letter on file dated Apr 14, 2026; available to evaluator on request.' Now an evaluator can verify it without asking.</t>
  </si>
  <si>
    <t>What 'Reviewed' really means</t>
  </si>
  <si>
    <t>Not: the writer thinks they are done.</t>
  </si>
  <si>
    <t>Not: the proposal manager skimmed it.</t>
  </si>
  <si>
    <t>Is: a color team reviewer (Pink, Red, or Gold) read it, scored it, wrote comments, and the writer incorporated those comments and confirmed the changes back to the reviewer.</t>
  </si>
  <si>
    <t>If that loop hasn't closed, status is 'Complete' — not 'Reviewed'. The difference matters at Gold Team.</t>
  </si>
  <si>
    <t>Common compliance gaps to look for</t>
  </si>
  <si>
    <t>Forgotten sub-clauses: L.4.1 lists three sub-requirements (a)(b)(c) and your matrix only has one row for L.4.1. Add (a), (b), (c) as separate rows.</t>
  </si>
  <si>
    <t>Page-limit miscounts: cover page, TOC, dividers, and required forms are usually excluded — check Section L. If you assume they count and the RFP says they don't, you wrote ten extra pages for nothing.</t>
  </si>
  <si>
    <t>Missing certifications: FAR 52.204-8 (Reps and Certs) and SF-33 signatures get forgotten because they live in Section J, not L. Put a row for each in your matrix anyway.</t>
  </si>
  <si>
    <t>Time-zone errors: federal deadlines are almost always Eastern Time. Saw a Pacific-coast offeror miss a 17:00 ET deadline by three hours because they thought it was 17:00 PT. The portal closed. They lost.</t>
  </si>
  <si>
    <t>When to start this matrix</t>
  </si>
  <si>
    <t>On RFP release day. Not 'after the kickoff meeting'. Not 'when the writers are assigned'. On release day.</t>
  </si>
  <si>
    <t>If you started after release day on a 30-day proposal, you're already two days behind. Backfill the matrix tonight and run a quick gap scan tomorrow morning.</t>
  </si>
  <si>
    <t>On a 60-day proposal: matrix done by day 3, Pink Team scored by day 30, Red Team by day 45, Gold Team by day 55.</t>
  </si>
  <si>
    <t>Operator note (Sergio): in Afghan infantry we ran a checklist before every patrol — boots, comms, ammo count, medkit, route brief. Same item every time. Same person checking. We didn't skip any of it because the day we skipped one was the day it mattered. Same logic for the Submission Checklist tab. Don't skip lines because 'we always get that one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</si>
</sst>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0;-0.00;0.00"/>
    <numFmt numFmtId="166" formatCode="+0;-0;0"/>
  </numFmts>
  <fonts count="12" x14ac:knownFonts="1">
    <font>
      <color theme="1"/>
      <family val="2"/>
      <scheme val="minor"/>
      <sz val="11"/>
      <name val="Calibri"/>
    </font>
    <font>
      <b/>
      <color rgb="FFFFFFFF"/>
      <sz val="20"/>
      <name val="Calibri"/>
    </font>
    <font>
      <i/>
      <color rgb="FF334155"/>
      <sz val="11"/>
      <name val="Calibri"/>
    </font>
    <font>
      <b/>
      <color rgb="FFFFFFFF"/>
      <sz val="12"/>
      <name val="Calibri"/>
    </font>
    <font>
      <color rgb="FF0F172A"/>
      <sz val="10"/>
      <name val="Calibri"/>
    </font>
    <font>
      <b/>
      <color rgb="FF0F172A"/>
      <sz val="10"/>
      <name val="Calibri"/>
    </font>
    <font>
      <b/>
      <color rgb="FFFFFFFF"/>
      <sz val="10"/>
      <name val="Calibri"/>
    </font>
    <font>
      <i/>
      <color rgb="FF334155"/>
      <sz val="10"/>
      <name val="Calibri"/>
    </font>
    <font>
      <b/>
      <color rgb="FFFFFFFF"/>
      <sz val="11"/>
      <name val="Calibri"/>
    </font>
    <font>
      <b/>
      <color rgb="FF0F172A"/>
      <sz val="11"/>
      <name val="Calibri"/>
    </font>
    <font>
      <b/>
      <color rgb="FF0F172A"/>
      <sz val="10"/>
      <name val="Consolas"/>
    </font>
    <font>
      <b/>
      <color rgb="FF047857"/>
      <sz val="10"/>
      <name val="Calibri"/>
    </font>
  </fonts>
  <fills count="12">
    <fill>
      <patternFill patternType="none"/>
    </fill>
    <fill>
      <patternFill patternType="gray125"/>
    </fill>
    <fill>
      <patternFill patternType="solid">
        <fgColor rgb="FF047857"/>
      </patternFill>
    </fill>
    <fill>
      <patternFill patternType="solid">
        <fgColor rgb="FF10B981"/>
      </patternFill>
    </fill>
    <fill>
      <patternFill patternType="solid">
        <fgColor rgb="FFF8FAFC"/>
      </patternFill>
    </fill>
    <fill>
      <patternFill patternType="solid">
        <fgColor rgb="FF0F172A"/>
      </patternFill>
    </fill>
    <fill>
      <patternFill patternType="solid">
        <fgColor rgb="FFF1F5F9"/>
      </patternFill>
    </fill>
    <fill>
      <patternFill patternType="solid">
        <fgColor rgb="FFFFFFFF"/>
      </patternFill>
    </fill>
    <fill>
      <patternFill patternType="solid">
        <fgColor rgb="FFDC2626"/>
      </patternFill>
    </fill>
    <fill>
      <patternFill patternType="solid">
        <fgColor rgb="FFEFF6FF"/>
      </patternFill>
    </fill>
    <fill>
      <patternFill patternType="solid">
        <fgColor rgb="FFEDE9FE"/>
      </patternFill>
    </fill>
    <fill>
      <patternFill patternType="solid">
        <fgColor rgb="FF334155"/>
      </patternFill>
    </fill>
  </fills>
  <borders count="5">
    <border>
      <left/>
      <right/>
      <top/>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047857"/>
      </left>
      <right style="thin">
        <color rgb="FF047857"/>
      </right>
      <top style="thin">
        <color rgb="FF047857"/>
      </top>
      <bottom style="thin">
        <color rgb="FF047857"/>
      </bottom>
      <diagonal/>
    </border>
    <border>
      <left style="thin">
        <color rgb="FF0F172A"/>
      </left>
      <right style="thin">
        <color rgb="FF0F172A"/>
      </right>
      <top style="thin">
        <color rgb="FF0F172A"/>
      </top>
      <bottom style="thin">
        <color rgb="FF0F172A"/>
      </bottom>
      <diagonal/>
    </border>
  </borders>
  <cellStyleXfs count="1">
    <xf numFmtId="0" fontId="0" fillId="0" borderId="0"/>
  </cellStyleXfs>
  <cellXfs count="35">
    <xf numFmtId="0" fontId="0" fillId="0" borderId="0" xfId="0"/>
    <xf numFmtId="0" fontId="1" fillId="2" borderId="0" xfId="0" applyFont="1" applyFill="1" applyAlignment="1" applyProtection="1">
      <alignment horizontal="left" vertical="center" indent="1"/>
    </xf>
    <xf numFmtId="0" fontId="2" fillId="0" borderId="0" xfId="0" applyFont="1" applyAlignment="1" applyProtection="1">
      <alignment horizontal="left" vertical="center" wrapText="1" indent="1"/>
    </xf>
    <xf numFmtId="0" fontId="3" fillId="3" borderId="0" xfId="0" applyFont="1" applyFill="1" applyAlignment="1">
      <alignment horizontal="left" vertical="center" indent="1"/>
    </xf>
    <xf numFmtId="0" fontId="4" fillId="4" borderId="1" xfId="0" applyFont="1" applyFill="1" applyBorder="1" applyAlignment="1">
      <alignment horizontal="left" vertical="top" wrapText="1" indent="1"/>
    </xf>
    <xf numFmtId="0" fontId="3" fillId="5" borderId="2" xfId="0" applyFont="1" applyFill="1" applyBorder="1" applyAlignment="1" applyProtection="1">
      <alignment horizontal="left" vertical="center" indent="1"/>
    </xf>
    <xf numFmtId="0" fontId="5" fillId="6" borderId="1" xfId="0" applyFont="1" applyFill="1" applyBorder="1" applyAlignment="1">
      <alignment horizontal="left" vertical="center" indent="1"/>
    </xf>
    <xf numFmtId="0" fontId="4" fillId="7" borderId="1" xfId="0" applyFont="1" applyFill="1" applyBorder="1" applyAlignment="1" applyProtection="1">
      <alignment horizontal="left" vertical="top" wrapText="1" indent="1"/>
      <protection locked="0"/>
    </xf>
    <xf numFmtId="0" fontId="6" fillId="8" borderId="1" xfId="0" applyFont="1" applyFill="1" applyBorder="1" applyAlignment="1">
      <alignment horizontal="left" vertical="center" wrapText="1" indent="1"/>
    </xf>
    <xf numFmtId="0" fontId="7" fillId="6" borderId="1" xfId="0" applyFont="1" applyFill="1" applyBorder="1" applyAlignment="1">
      <alignment horizontal="left" vertical="top" wrapText="1" indent="1"/>
    </xf>
    <xf numFmtId="0" fontId="0" fillId="0" borderId="0" xfId="0" applyProtection="1"/>
    <xf numFmtId="0" fontId="5" fillId="6" borderId="1" xfId="0" applyFont="1" applyFill="1" applyBorder="1" applyAlignment="1" applyProtection="1">
      <alignment horizontal="right" vertical="center" indent="1"/>
    </xf>
    <xf numFmtId="0" fontId="4" fillId="7" borderId="1" xfId="0" applyFont="1" applyFill="1" applyBorder="1" applyAlignment="1" applyProtection="1">
      <alignment horizontal="left" vertical="center" indent="1"/>
      <protection locked="0"/>
    </xf>
    <xf numFmtId="0" fontId="6" fillId="3" borderId="3" xfId="0" applyFont="1" applyFill="1" applyBorder="1" applyAlignment="1" applyProtection="1">
      <alignment horizontal="center" vertical="center"/>
    </xf>
    <xf numFmtId="0" fontId="5" fillId="6" borderId="1" xfId="0" applyFont="1" applyFill="1" applyBorder="1" applyAlignment="1" applyProtection="1">
      <alignment horizontal="left" vertical="center" wrapText="1" indent="1"/>
    </xf>
    <xf numFmtId="1" fontId="5" fillId="6" borderId="1" xfId="0" applyNumberFormat="1" applyFont="1" applyFill="1" applyBorder="1" applyAlignment="1" applyProtection="1">
      <alignment horizontal="center" vertical="center"/>
    </xf>
    <xf numFmtId="9" fontId="5" fillId="6" borderId="1" xfId="0" applyNumberFormat="1" applyFont="1" applyFill="1" applyBorder="1" applyAlignment="1" applyProtection="1">
      <alignment horizontal="center" vertical="center"/>
    </xf>
    <xf numFmtId="164" fontId="4" fillId="7" borderId="1" xfId="0" applyNumberFormat="1" applyFont="1" applyFill="1" applyBorder="1" applyAlignment="1" applyProtection="1">
      <alignment horizontal="left" vertical="center" indent="1"/>
      <protection locked="0"/>
    </xf>
    <xf numFmtId="1" fontId="5" fillId="9" borderId="1" xfId="0" applyNumberFormat="1" applyFont="1" applyFill="1" applyBorder="1" applyAlignment="1" applyProtection="1">
      <alignment horizontal="center" vertical="center"/>
    </xf>
    <xf numFmtId="9" fontId="5" fillId="9" borderId="1" xfId="0" applyNumberFormat="1" applyFont="1" applyFill="1" applyBorder="1" applyAlignment="1" applyProtection="1">
      <alignment horizontal="center" vertical="center"/>
    </xf>
    <xf numFmtId="0" fontId="7" fillId="10" borderId="1" xfId="0" applyFont="1" applyFill="1" applyBorder="1" applyAlignment="1" applyProtection="1">
      <alignment horizontal="left" vertical="center" wrapText="1" indent="1"/>
    </xf>
    <xf numFmtId="0" fontId="6" fillId="3" borderId="3" xfId="0" applyFont="1" applyFill="1" applyBorder="1" applyAlignment="1" applyProtection="1">
      <alignment horizontal="center" vertical="center" wrapText="1"/>
    </xf>
    <xf numFmtId="0" fontId="8" fillId="11" borderId="4" xfId="0" applyFont="1" applyFill="1" applyBorder="1" applyAlignment="1" applyProtection="1">
      <alignment horizontal="left" vertical="center" indent="1"/>
    </xf>
    <xf numFmtId="0" fontId="0" fillId="0" borderId="0" xfId="0" applyProtection="1">
      <protection locked="0"/>
    </xf>
    <xf numFmtId="0" fontId="4"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protection locked="0"/>
    </xf>
    <xf numFmtId="0" fontId="10" fillId="7" borderId="1" xfId="0" applyFont="1" applyFill="1" applyBorder="1" applyAlignment="1" applyProtection="1">
      <alignment horizontal="center" vertical="center"/>
    </xf>
    <xf numFmtId="0" fontId="2" fillId="4" borderId="1" xfId="0" applyFont="1" applyFill="1" applyBorder="1" applyAlignment="1" applyProtection="1">
      <alignment horizontal="left" vertical="center" indent="1"/>
    </xf>
    <xf numFmtId="2" fontId="5" fillId="9" borderId="1" xfId="0" applyNumberFormat="1" applyFont="1" applyFill="1" applyBorder="1" applyAlignment="1" applyProtection="1">
      <alignment horizontal="center" vertical="center"/>
    </xf>
    <xf numFmtId="165" fontId="5" fillId="9" borderId="1" xfId="0" applyNumberFormat="1" applyFont="1" applyFill="1" applyBorder="1" applyAlignment="1" applyProtection="1">
      <alignment horizontal="center" vertical="center"/>
    </xf>
    <xf numFmtId="1" fontId="5" fillId="9" borderId="1" xfId="0" applyNumberFormat="1" applyFont="1" applyFill="1" applyBorder="1" applyAlignment="1" applyProtection="1">
      <alignment horizontal="left" vertical="center" indent="1"/>
    </xf>
    <xf numFmtId="166" fontId="5" fillId="9" borderId="1" xfId="0" applyNumberFormat="1" applyFont="1" applyFill="1" applyBorder="1" applyAlignment="1" applyProtection="1">
      <alignment horizontal="center" vertical="center"/>
      <protection locked="0"/>
    </xf>
    <xf numFmtId="0" fontId="6" fillId="2" borderId="1" xfId="0" applyFont="1" applyFill="1" applyBorder="1" applyAlignment="1" applyProtection="1">
      <alignment horizontal="left" vertical="center" wrapText="1" indent="1"/>
    </xf>
    <xf numFmtId="0" fontId="8" fillId="2" borderId="1" xfId="0" applyFont="1" applyFill="1" applyBorder="1" applyAlignment="1" applyProtection="1">
      <alignment horizontal="left" vertical="center" wrapText="1" indent="1"/>
    </xf>
    <xf numFmtId="0" fontId="11" fillId="0" borderId="1" xfId="0" applyFont="1" applyBorder="1" applyAlignment="1">
      <alignment horizontal="center" vertical="top"/>
    </xf>
  </cellXfs>
  <cellStyles count="1">
    <cellStyle name="Normal" xfId="0" builtinId="0"/>
  </cellStyles>
  <dxfs count="35">
    <dxf>
      <font>
        <b/>
        <color rgb="FF065F46"/>
      </font>
      <fill>
        <patternFill patternType="solid">
          <fgColor rgb="FFD1FAE5"/>
        </patternFill>
      </fill>
    </dxf>
    <dxf>
      <font>
        <b/>
        <color rgb="FF1E40AF"/>
      </font>
      <fill>
        <patternFill patternType="solid">
          <fgColor rgb="FFEFF6FF"/>
        </patternFill>
      </fill>
    </dxf>
    <dxf>
      <font>
        <b/>
        <color rgb="FF92400E"/>
      </font>
      <fill>
        <patternFill patternType="solid">
          <fgColor rgb="FFFEF3C7"/>
        </patternFill>
      </fill>
    </dxf>
    <dxf>
      <font>
        <i/>
        <color rgb="FF334155"/>
      </font>
      <fill>
        <patternFill patternType="solid">
          <fgColor rgb="FFF1F5F9"/>
        </patternFill>
      </fill>
    </dxf>
    <dxf>
      <font>
        <b/>
        <color rgb="FFDC2626"/>
      </font>
      <fill>
        <patternFill patternType="solid">
          <fgColor rgb="FFFEE2E2"/>
        </patternFill>
      </fill>
    </dxf>
    <dxf>
      <font>
        <b/>
        <color rgb="FFDC2626"/>
      </font>
      <fill>
        <patternFill patternType="solid">
          <fgColor rgb="FFFEE2E2"/>
        </patternFill>
      </fill>
    </dxf>
    <dxf>
      <font>
        <b/>
        <color rgb="FF92400E"/>
      </font>
      <fill>
        <patternFill patternType="solid">
          <fgColor rgb="FFFEF3C7"/>
        </patternFill>
      </fill>
    </dxf>
    <dxf>
      <font>
        <color rgb="FF1E40AF"/>
      </font>
      <fill>
        <patternFill patternType="solid">
          <fgColor rgb="FFEFF6FF"/>
        </patternFill>
      </fill>
    </dxf>
    <dxf>
      <font>
        <b/>
        <color rgb="FF065F46"/>
      </font>
      <fill>
        <patternFill patternType="solid">
          <fgColor rgb="FFD1FAE5"/>
        </patternFill>
      </fill>
    </dxf>
    <dxf>
      <font>
        <b/>
        <color rgb="FF92400E"/>
      </font>
      <fill>
        <patternFill patternType="solid">
          <fgColor rgb="FFFEF3C7"/>
        </patternFill>
      </fill>
    </dxf>
    <dxf>
      <font>
        <b/>
        <color rgb="FFDC2626"/>
      </font>
      <fill>
        <patternFill patternType="solid">
          <fgColor rgb="FFFEE2E2"/>
        </patternFill>
      </fill>
    </dxf>
    <dxf>
      <font>
        <b/>
        <color rgb="FF16A34A"/>
      </font>
      <fill>
        <patternFill patternType="solid">
          <bgColor rgb="FFD1FAE5"/>
        </patternFill>
      </fill>
    </dxf>
    <dxf>
      <font>
        <color rgb="FF334155"/>
        <strike/>
      </font>
      <fill>
        <patternFill patternType="solid">
          <bgColor rgb="FFD1FAE5"/>
        </patternFill>
      </fill>
    </dxf>
    <dxf>
      <font>
        <b/>
        <color rgb="FF16A34A"/>
      </font>
      <fill>
        <patternFill patternType="solid">
          <bgColor rgb="FFD1FAE5"/>
        </patternFill>
      </fill>
    </dxf>
    <dxf>
      <font>
        <color rgb="FF334155"/>
        <strike/>
      </font>
      <fill>
        <patternFill patternType="solid">
          <bgColor rgb="FFD1FAE5"/>
        </patternFill>
      </fill>
    </dxf>
    <dxf>
      <font>
        <b/>
        <color rgb="FF065F46"/>
      </font>
      <fill>
        <patternFill patternType="solid">
          <fgColor rgb="FFD1FAE5"/>
        </patternFill>
      </fill>
    </dxf>
    <dxf>
      <font>
        <b/>
        <color rgb="FF92400E"/>
      </font>
      <fill>
        <patternFill patternType="solid">
          <fgColor rgb="FFFEF3C7"/>
        </patternFill>
      </fill>
    </dxf>
    <dxf>
      <font>
        <b/>
        <color rgb="FFDC2626"/>
      </font>
      <fill>
        <patternFill patternType="solid">
          <fgColor rgb="FFFEE2E2"/>
        </patternFill>
      </fill>
    </dxf>
    <dxf>
      <font>
        <b/>
        <color rgb="FF065F46"/>
      </font>
      <fill>
        <patternFill patternType="solid">
          <fgColor rgb="FFD1FAE5"/>
        </patternFill>
      </fill>
    </dxf>
    <dxf>
      <font>
        <b/>
        <color rgb="FF92400E"/>
      </font>
      <fill>
        <patternFill patternType="solid">
          <fgColor rgb="FFFEF3C7"/>
        </patternFill>
      </fill>
    </dxf>
    <dxf>
      <font>
        <b/>
        <color rgb="FFDC2626"/>
      </font>
      <fill>
        <patternFill patternType="solid">
          <fgColor rgb="FFFEE2E2"/>
        </patternFill>
      </fill>
    </dxf>
    <dxf>
      <font>
        <b/>
        <color rgb="FF065F46"/>
      </font>
      <fill>
        <patternFill patternType="solid">
          <fgColor rgb="FFD1FAE5"/>
        </patternFill>
      </fill>
    </dxf>
    <dxf>
      <font>
        <color rgb="FF92400E"/>
      </font>
      <fill>
        <patternFill patternType="solid">
          <fgColor rgb="FFFEF3C7"/>
        </patternFill>
      </fill>
    </dxf>
    <dxf>
      <font>
        <b/>
        <color rgb="FFDC2626"/>
      </font>
      <fill>
        <patternFill patternType="solid">
          <fgColor rgb="FFFEE2E2"/>
        </patternFill>
      </fill>
    </dxf>
    <dxf>
      <font>
        <b/>
        <color rgb="FF16A34A"/>
      </font>
      <fill>
        <patternFill patternType="solid">
          <bgColor rgb="FFD1FAE5"/>
        </patternFill>
      </fill>
    </dxf>
    <dxf>
      <font>
        <color rgb="FF334155"/>
        <strike/>
      </font>
      <fill>
        <patternFill patternType="solid">
          <bgColor rgb="FFD1FAE5"/>
        </patternFill>
      </fill>
    </dxf>
    <dxf>
      <font>
        <b/>
        <color rgb="FF16A34A"/>
      </font>
      <fill>
        <patternFill patternType="solid">
          <bgColor rgb="FFD1FAE5"/>
        </patternFill>
      </fill>
    </dxf>
    <dxf>
      <font>
        <color rgb="FF334155"/>
        <strike/>
      </font>
      <fill>
        <patternFill patternType="solid">
          <bgColor rgb="FFD1FAE5"/>
        </patternFill>
      </fill>
    </dxf>
    <dxf>
      <font>
        <b/>
        <color rgb="FF065F46"/>
      </font>
      <fill>
        <patternFill patternType="solid">
          <fgColor rgb="FFD1FAE5"/>
        </patternFill>
      </fill>
    </dxf>
    <dxf>
      <font>
        <b/>
        <color rgb="FFDC2626"/>
      </font>
      <fill>
        <patternFill patternType="solid">
          <fgColor rgb="FFFEE2E2"/>
        </patternFill>
      </fill>
    </dxf>
    <dxf>
      <font>
        <i/>
        <color rgb="FF334155"/>
      </font>
      <fill>
        <patternFill patternType="solid">
          <fgColor rgb="FFF1F5F9"/>
        </patternFill>
      </fill>
    </dxf>
    <dxf>
      <font>
        <b/>
        <color rgb="FF16A34A"/>
      </font>
      <fill>
        <patternFill patternType="solid">
          <bgColor rgb="FFD1FAE5"/>
        </patternFill>
      </fill>
    </dxf>
    <dxf>
      <font>
        <color rgb="FF334155"/>
        <strike/>
      </font>
      <fill>
        <patternFill patternType="solid">
          <bgColor rgb="FFD1FAE5"/>
        </patternFill>
      </fill>
    </dxf>
    <dxf>
      <font>
        <b/>
        <color rgb="FF16A34A"/>
      </font>
      <fill>
        <patternFill patternType="solid">
          <bgColor rgb="FFD1FAE5"/>
        </patternFill>
      </fill>
    </dxf>
    <dxf>
      <font>
        <color rgb="FF334155"/>
        <strike/>
      </font>
      <fill>
        <patternFill patternType="solid">
          <bgColor rgb="FFD1FA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29"/>
  <sheetViews>
    <sheetView workbookViewId="0" showGridLines="0" zoomScale="100" zoomScaleNormal="100">
      <pane ySplit="4" topLeftCell="A5" activePane="bottomLeft" state="frozen"/>
      <selection pane="bottomLeft"/>
    </sheetView>
  </sheetViews>
  <sheetFormatPr defaultRowHeight="15" outlineLevelRow="0" outlineLevelCol="0" x14ac:dyDescent="55"/>
  <cols>
    <col min="1" max="1" width="4" customWidth="1"/>
    <col min="2" max="2" width="28" customWidth="1"/>
    <col min="3" max="3" width="80" customWidth="1"/>
  </cols>
  <sheetData>
    <row r="2" ht="38" customHeight="1" spans="2:3" x14ac:dyDescent="0.25">
      <c r="B2" s="1" t="s">
        <v>0</v>
      </c>
      <c r="C2"/>
    </row>
    <row r="3" ht="32" customHeight="1" spans="2:3" x14ac:dyDescent="0.25">
      <c r="B3" s="2" t="s">
        <v>1</v>
      </c>
      <c r="C3"/>
    </row>
    <row r="5" ht="22" customHeight="1" spans="2:3" x14ac:dyDescent="0.25">
      <c r="B5" s="3" t="s">
        <v>2</v>
      </c>
      <c r="C5"/>
    </row>
    <row r="6" ht="56" customHeight="1" spans="2:3" x14ac:dyDescent="0.25">
      <c r="B6" s="4" t="s">
        <v>3</v>
      </c>
      <c r="C6"/>
    </row>
    <row r="8" ht="22" customHeight="1" spans="2:3" x14ac:dyDescent="0.25">
      <c r="B8" s="3" t="s">
        <v>4</v>
      </c>
      <c r="C8"/>
    </row>
    <row r="9" ht="56" customHeight="1" spans="2:3" x14ac:dyDescent="0.25">
      <c r="B9" s="4" t="s">
        <v>5</v>
      </c>
      <c r="C9"/>
    </row>
    <row r="11" ht="22" customHeight="1" spans="2:3" x14ac:dyDescent="0.25">
      <c r="B11" s="3" t="s">
        <v>6</v>
      </c>
      <c r="C11"/>
    </row>
    <row r="12" ht="56" customHeight="1" spans="2:3" x14ac:dyDescent="0.25">
      <c r="B12" s="4" t="s">
        <v>7</v>
      </c>
      <c r="C12"/>
    </row>
    <row r="14" ht="22" customHeight="1" spans="2:3" x14ac:dyDescent="0.25">
      <c r="B14" s="3" t="s">
        <v>8</v>
      </c>
      <c r="C14"/>
    </row>
    <row r="15" ht="56" customHeight="1" spans="2:3" x14ac:dyDescent="0.25">
      <c r="B15" s="4" t="s">
        <v>9</v>
      </c>
      <c r="C15"/>
    </row>
    <row r="17" ht="22" customHeight="1" spans="2:3" x14ac:dyDescent="0.25">
      <c r="B17" s="3" t="s">
        <v>10</v>
      </c>
      <c r="C17"/>
    </row>
    <row r="18" ht="56" customHeight="1" spans="2:3" x14ac:dyDescent="0.25">
      <c r="B18" s="4" t="s">
        <v>11</v>
      </c>
      <c r="C18"/>
    </row>
    <row r="20" ht="24" customHeight="1" spans="2:3" x14ac:dyDescent="0.25">
      <c r="B20" s="5" t="s">
        <v>12</v>
      </c>
      <c r="C20"/>
    </row>
    <row r="21" ht="30" customHeight="1" spans="2:3" x14ac:dyDescent="0.25">
      <c r="B21" s="6" t="s">
        <v>13</v>
      </c>
      <c r="C21" s="7" t="s">
        <v>14</v>
      </c>
    </row>
    <row r="22" ht="30" customHeight="1" spans="2:3" x14ac:dyDescent="0.25">
      <c r="B22" s="6" t="s">
        <v>15</v>
      </c>
      <c r="C22" s="7" t="s">
        <v>16</v>
      </c>
    </row>
    <row r="23" ht="30" customHeight="1" spans="2:3" x14ac:dyDescent="0.25">
      <c r="B23" s="6" t="s">
        <v>17</v>
      </c>
      <c r="C23" s="7" t="s">
        <v>18</v>
      </c>
    </row>
    <row r="24" ht="30" customHeight="1" spans="2:3" x14ac:dyDescent="0.25">
      <c r="B24" s="6" t="s">
        <v>19</v>
      </c>
      <c r="C24" s="7" t="s">
        <v>20</v>
      </c>
    </row>
    <row r="25" ht="30" customHeight="1" spans="2:3" x14ac:dyDescent="0.25">
      <c r="B25" s="6" t="s">
        <v>21</v>
      </c>
      <c r="C25" s="7" t="s">
        <v>22</v>
      </c>
    </row>
    <row r="27" ht="50" customHeight="1" spans="2:3" x14ac:dyDescent="0.25">
      <c r="B27" s="8" t="s">
        <v>23</v>
      </c>
      <c r="C27"/>
    </row>
    <row r="29" ht="70" customHeight="1" spans="2:3" x14ac:dyDescent="0.25">
      <c r="B29" s="9" t="s">
        <v>24</v>
      </c>
      <c r="C29"/>
    </row>
  </sheetData>
  <mergeCells count="15">
    <mergeCell ref="B2:C2"/>
    <mergeCell ref="B3:C3"/>
    <mergeCell ref="B5:C5"/>
    <mergeCell ref="B6:C6"/>
    <mergeCell ref="B8:C8"/>
    <mergeCell ref="B9:C9"/>
    <mergeCell ref="B11:C11"/>
    <mergeCell ref="B12:C12"/>
    <mergeCell ref="B14:C14"/>
    <mergeCell ref="B15:C15"/>
    <mergeCell ref="B17:C17"/>
    <mergeCell ref="B18:C18"/>
    <mergeCell ref="B20:C20"/>
    <mergeCell ref="B27:C27"/>
    <mergeCell ref="B29:C29"/>
  </mergeCells>
  <printOptions horizontalCentered="1"/>
  <pageMargins left="0.4" right="0.4" top="0.6" bottom="0.6" header="0.3" footer="0.3"/>
  <pageSetup paperSize="9" orientation="landscape" horizontalDpi="4294967295" verticalDpi="4294967295" scale="100" fitToWidth="1" fitToHeight="0" firstPageNumber="1" useFirstPageNumber="1" copies="1"/>
  <headerFooter>
    <oddHeader>&amp;L&amp;"Calibri,Bold"&amp;12&amp;K047857CapturePilot &amp;K000000· Federal Lead Kit&amp;R&amp;"Calibri,Italic"&amp;10 09 Compliance Matrix</oddHeader>
    <oddFooter>&amp;Lcapturepilot.com&amp;C&amp;P of &amp;N&amp;RInstructions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0"/>
  <sheetViews>
    <sheetView workbookViewId="0" showGridLines="0" zoomScale="100" zoomScaleNormal="100">
      <pane xSplit="1" ySplit="11" topLeftCell="B12" activePane="bottomRight" state="frozen"/>
      <selection pane="bottomRight"/>
    </sheetView>
  </sheetViews>
  <sheetFormatPr defaultRowHeight="15" outlineLevelRow="0" outlineLevelCol="0" x14ac:dyDescent="55"/>
  <cols>
    <col min="1" max="1" width="14" customWidth="1"/>
    <col min="2" max="2" width="50" customWidth="1"/>
    <col min="3" max="3" width="14" customWidth="1"/>
    <col min="4" max="4" width="28" customWidth="1"/>
    <col min="5" max="5" width="10" customWidth="1"/>
    <col min="6" max="6" width="11" customWidth="1"/>
    <col min="7" max="7" width="18" customWidth="1"/>
    <col min="8" max="8" width="14" customWidth="1"/>
    <col min="9" max="9" width="11" customWidth="1"/>
    <col min="10" max="10" width="30" customWidth="1"/>
    <col min="11" max="11" width="16" customWidth="1"/>
    <col min="12" max="12" width="12" customWidth="1"/>
  </cols>
  <sheetData>
    <row r="1" ht="36" customHeight="1" spans="1:10" x14ac:dyDescent="0.25">
      <c r="A1" s="1" t="s">
        <v>25</v>
      </c>
      <c r="B1" s="10"/>
      <c r="C1" s="10"/>
      <c r="D1" s="10"/>
      <c r="E1" s="10"/>
      <c r="F1" s="10"/>
      <c r="G1" s="10"/>
      <c r="H1" s="10"/>
      <c r="I1" s="10"/>
      <c r="J1" s="10"/>
    </row>
    <row r="2" ht="24" customHeight="1" spans="1:10" x14ac:dyDescent="0.25">
      <c r="A2" s="2" t="s">
        <v>26</v>
      </c>
      <c r="B2" s="10"/>
      <c r="C2" s="10"/>
      <c r="D2" s="10"/>
      <c r="E2" s="10"/>
      <c r="F2" s="10"/>
      <c r="G2" s="10"/>
      <c r="H2" s="10"/>
      <c r="I2" s="10"/>
      <c r="J2" s="10"/>
    </row>
    <row r="3" ht="20" customHeight="1" spans="1:10" x14ac:dyDescent="0.25">
      <c r="A3" s="11" t="s">
        <v>27</v>
      </c>
      <c r="B3" s="10"/>
      <c r="C3" s="12"/>
      <c r="D3" s="10"/>
      <c r="E3" s="10"/>
      <c r="F3" s="13" t="s">
        <v>28</v>
      </c>
      <c r="G3" s="10"/>
      <c r="H3" s="13" t="s">
        <v>29</v>
      </c>
      <c r="I3" s="13" t="s">
        <v>30</v>
      </c>
      <c r="J3" s="13" t="s">
        <v>31</v>
      </c>
    </row>
    <row r="4" ht="22" customHeight="1" spans="1:10" x14ac:dyDescent="0.25">
      <c r="A4" s="11" t="s">
        <v>32</v>
      </c>
      <c r="B4" s="10"/>
      <c r="C4" s="12"/>
      <c r="D4" s="10"/>
      <c r="E4" s="10"/>
      <c r="F4" s="14" t="s">
        <v>33</v>
      </c>
      <c r="G4" s="10"/>
      <c r="H4" s="15">
        <f>COUNTA($H$12:$H$200)</f>
      </c>
      <c r="I4" s="16" t="s">
        <v>34</v>
      </c>
      <c r="J4" s="15" t="s">
        <v>34</v>
      </c>
    </row>
    <row r="5" ht="22" customHeight="1" spans="1:10" x14ac:dyDescent="0.25">
      <c r="A5" s="11" t="s">
        <v>35</v>
      </c>
      <c r="B5" s="10"/>
      <c r="C5" s="17"/>
      <c r="D5" s="10"/>
      <c r="E5" s="10"/>
      <c r="F5" s="14" t="s">
        <v>19</v>
      </c>
      <c r="G5" s="10"/>
      <c r="H5" s="18">
        <f>COUNTIF($H$12:$H$200,"Reviewed")</f>
      </c>
      <c r="I5" s="19">
        <f>IFERROR(H5/H4,0)</f>
      </c>
      <c r="J5" s="18">
        <f>IF(H4=0,"",IF(H5/H4&gt;=0.95,"Ready for Gold","Working"))</f>
      </c>
    </row>
    <row r="6" ht="22" customHeight="1" spans="1:10" x14ac:dyDescent="0.25">
      <c r="A6" s="11" t="s">
        <v>36</v>
      </c>
      <c r="B6" s="10"/>
      <c r="C6" s="12"/>
      <c r="D6" s="10"/>
      <c r="E6" s="10"/>
      <c r="F6" s="14" t="s">
        <v>37</v>
      </c>
      <c r="G6" s="10"/>
      <c r="H6" s="18">
        <f>COUNTIF($H$12:$H$200,"Complete")</f>
      </c>
      <c r="I6" s="19">
        <f>IFERROR(H6/H4,0)</f>
      </c>
      <c r="J6" s="18">
        <f>IF(H4=0,"",IF(H6=0,"All reviewed","Schedule review"))</f>
      </c>
    </row>
    <row r="7" ht="22" customHeight="1" spans="1:10" x14ac:dyDescent="0.25">
      <c r="A7" s="11" t="s">
        <v>38</v>
      </c>
      <c r="B7" s="10"/>
      <c r="C7" s="12"/>
      <c r="D7" s="10"/>
      <c r="E7" s="10"/>
      <c r="F7" s="14" t="s">
        <v>39</v>
      </c>
      <c r="G7" s="10"/>
      <c r="H7" s="18">
        <f>COUNTIF($H$12:$H$200,"In Draft")+COUNTIF($H$12:$H$200,"Not Started")</f>
      </c>
      <c r="I7" s="19">
        <f>IFERROR(H7/H4,0)</f>
      </c>
      <c r="J7" s="18">
        <f>IF(H4=0,"",IF(H7=0,"OK","Track daily"))</f>
      </c>
    </row>
    <row r="8" ht="22" customHeight="1" spans="6:10" x14ac:dyDescent="0.25">
      <c r="F8" s="14" t="s">
        <v>40</v>
      </c>
      <c r="G8" s="10"/>
      <c r="H8" s="18">
        <f>COUNTIF($H$12:$H$200,"Missing")</f>
      </c>
      <c r="I8" s="19">
        <f>IFERROR(H8/H4,0)</f>
      </c>
      <c r="J8" s="18">
        <f>IF(H8&gt;0,"FIX NOW","OK")</f>
      </c>
    </row>
    <row r="9" ht="22" customHeight="1" spans="6:10" x14ac:dyDescent="0.25">
      <c r="F9" s="14" t="s">
        <v>41</v>
      </c>
      <c r="G9" s="10"/>
      <c r="H9" s="18">
        <f>SUMPRODUCT(($I$12:$I$200="Critical")*($H$12:$H$200&lt;&gt;"Reviewed")*($H$12:$H$200&lt;&gt;""))</f>
      </c>
      <c r="I9" s="19">
        <f>IFERROR(H9/MAX(COUNTIF($I$12:$I$200,"Critical"),1),0)</f>
      </c>
      <c r="J9" s="18">
        <f>IF(H9=0,"All Critical reviewed","Critical gaps")</f>
      </c>
    </row>
    <row r="10" ht="36" customHeight="1" spans="1:12" x14ac:dyDescent="0.25">
      <c r="A10" s="20" t="s">
        <v>42</v>
      </c>
      <c r="B10" s="20"/>
      <c r="C10" s="20"/>
      <c r="D10" s="20"/>
      <c r="E10" s="20"/>
      <c r="F10" s="20"/>
      <c r="G10" s="20"/>
      <c r="H10" s="20"/>
      <c r="I10" s="20"/>
      <c r="J10" s="20"/>
      <c r="K10" s="20"/>
      <c r="L10" s="20"/>
    </row>
    <row r="11" ht="36" customHeight="1" spans="1:12" x14ac:dyDescent="0.25">
      <c r="A11" s="21" t="s">
        <v>43</v>
      </c>
      <c r="B11" s="21" t="s">
        <v>44</v>
      </c>
      <c r="C11" s="21" t="s">
        <v>45</v>
      </c>
      <c r="D11" s="21" t="s">
        <v>46</v>
      </c>
      <c r="E11" s="21" t="s">
        <v>47</v>
      </c>
      <c r="F11" s="21" t="s">
        <v>48</v>
      </c>
      <c r="G11" s="21" t="s">
        <v>49</v>
      </c>
      <c r="H11" s="21" t="s">
        <v>31</v>
      </c>
      <c r="I11" s="21" t="s">
        <v>50</v>
      </c>
      <c r="J11" s="21" t="s">
        <v>51</v>
      </c>
      <c r="K11" s="21" t="s">
        <v>52</v>
      </c>
      <c r="L11" s="21" t="s">
        <v>53</v>
      </c>
    </row>
    <row r="12" ht="22" customHeight="1" spans="1:12" x14ac:dyDescent="0.25">
      <c r="A12" s="22" t="s">
        <v>54</v>
      </c>
      <c r="B12" s="10"/>
      <c r="C12" s="23"/>
      <c r="D12" s="23"/>
      <c r="E12" s="23"/>
      <c r="F12" s="23"/>
      <c r="G12" s="23"/>
      <c r="H12" s="23"/>
      <c r="I12" s="23"/>
      <c r="J12" s="23"/>
      <c r="K12" s="24" t="s">
        <v>13</v>
      </c>
      <c r="L12" s="25" t="b">
        <v>0</v>
      </c>
    </row>
    <row r="13" ht="44" customHeight="1" spans="1:12" x14ac:dyDescent="0.25">
      <c r="A13" s="26" t="s">
        <v>55</v>
      </c>
      <c r="B13" s="7" t="s">
        <v>56</v>
      </c>
      <c r="C13" s="24" t="s">
        <v>57</v>
      </c>
      <c r="D13" s="7" t="s">
        <v>58</v>
      </c>
      <c r="E13" s="24" t="s">
        <v>34</v>
      </c>
      <c r="F13" s="24" t="s">
        <v>59</v>
      </c>
      <c r="G13" s="24" t="s">
        <v>34</v>
      </c>
      <c r="H13" s="24" t="s">
        <v>13</v>
      </c>
      <c r="I13" s="24" t="s">
        <v>60</v>
      </c>
      <c r="J13" s="7" t="s">
        <v>34</v>
      </c>
      <c r="K13" s="24" t="s">
        <v>13</v>
      </c>
      <c r="L13" s="25" t="b">
        <v>0</v>
      </c>
    </row>
    <row r="14" ht="44" customHeight="1" spans="1:12" x14ac:dyDescent="0.25">
      <c r="A14" s="26" t="s">
        <v>61</v>
      </c>
      <c r="B14" s="7" t="s">
        <v>62</v>
      </c>
      <c r="C14" s="24" t="s">
        <v>57</v>
      </c>
      <c r="D14" s="7" t="s">
        <v>63</v>
      </c>
      <c r="E14" s="24" t="s">
        <v>34</v>
      </c>
      <c r="F14" s="24" t="s">
        <v>59</v>
      </c>
      <c r="G14" s="24" t="s">
        <v>34</v>
      </c>
      <c r="H14" s="24" t="s">
        <v>13</v>
      </c>
      <c r="I14" s="24" t="s">
        <v>60</v>
      </c>
      <c r="J14" s="7" t="s">
        <v>34</v>
      </c>
      <c r="K14" s="24" t="s">
        <v>13</v>
      </c>
      <c r="L14" s="25" t="b">
        <v>0</v>
      </c>
    </row>
    <row r="15" ht="44" customHeight="1" spans="1:12" x14ac:dyDescent="0.25">
      <c r="A15" s="26" t="s">
        <v>64</v>
      </c>
      <c r="B15" s="7" t="s">
        <v>65</v>
      </c>
      <c r="C15" s="24" t="s">
        <v>57</v>
      </c>
      <c r="D15" s="7" t="s">
        <v>66</v>
      </c>
      <c r="E15" s="24" t="s">
        <v>34</v>
      </c>
      <c r="F15" s="24" t="s">
        <v>59</v>
      </c>
      <c r="G15" s="24" t="s">
        <v>34</v>
      </c>
      <c r="H15" s="24" t="s">
        <v>13</v>
      </c>
      <c r="I15" s="24" t="s">
        <v>67</v>
      </c>
      <c r="J15" s="7" t="s">
        <v>34</v>
      </c>
      <c r="K15" s="24" t="s">
        <v>13</v>
      </c>
      <c r="L15" s="25" t="b">
        <v>0</v>
      </c>
    </row>
    <row r="16" ht="44" customHeight="1" spans="1:12" x14ac:dyDescent="0.25">
      <c r="A16" s="26" t="s">
        <v>68</v>
      </c>
      <c r="B16" s="7" t="s">
        <v>69</v>
      </c>
      <c r="C16" s="24" t="s">
        <v>57</v>
      </c>
      <c r="D16" s="7" t="s">
        <v>70</v>
      </c>
      <c r="E16" s="24" t="s">
        <v>34</v>
      </c>
      <c r="F16" s="24" t="s">
        <v>59</v>
      </c>
      <c r="G16" s="24" t="s">
        <v>34</v>
      </c>
      <c r="H16" s="24" t="s">
        <v>13</v>
      </c>
      <c r="I16" s="24" t="s">
        <v>67</v>
      </c>
      <c r="J16" s="7" t="s">
        <v>34</v>
      </c>
      <c r="K16" s="24" t="s">
        <v>13</v>
      </c>
      <c r="L16" s="25" t="b">
        <v>0</v>
      </c>
    </row>
    <row r="17" ht="44" customHeight="1" spans="1:12" x14ac:dyDescent="0.25">
      <c r="A17" s="26" t="s">
        <v>71</v>
      </c>
      <c r="B17" s="7" t="s">
        <v>72</v>
      </c>
      <c r="C17" s="24" t="s">
        <v>57</v>
      </c>
      <c r="D17" s="7" t="s">
        <v>73</v>
      </c>
      <c r="E17" s="24" t="s">
        <v>34</v>
      </c>
      <c r="F17" s="24" t="s">
        <v>59</v>
      </c>
      <c r="G17" s="24" t="s">
        <v>34</v>
      </c>
      <c r="H17" s="24" t="s">
        <v>13</v>
      </c>
      <c r="I17" s="24" t="s">
        <v>60</v>
      </c>
      <c r="J17" s="7" t="s">
        <v>34</v>
      </c>
      <c r="K17" s="24" t="s">
        <v>13</v>
      </c>
      <c r="L17" s="25" t="b">
        <v>0</v>
      </c>
    </row>
    <row r="18" ht="44" customHeight="1" spans="1:12" x14ac:dyDescent="0.25">
      <c r="A18" s="26" t="s">
        <v>74</v>
      </c>
      <c r="B18" s="7" t="s">
        <v>75</v>
      </c>
      <c r="C18" s="24" t="s">
        <v>57</v>
      </c>
      <c r="D18" s="7" t="s">
        <v>76</v>
      </c>
      <c r="E18" s="24" t="s">
        <v>34</v>
      </c>
      <c r="F18" s="24" t="s">
        <v>59</v>
      </c>
      <c r="G18" s="24" t="s">
        <v>34</v>
      </c>
      <c r="H18" s="24" t="s">
        <v>13</v>
      </c>
      <c r="I18" s="24" t="s">
        <v>67</v>
      </c>
      <c r="J18" s="7" t="s">
        <v>34</v>
      </c>
      <c r="K18" s="24" t="s">
        <v>13</v>
      </c>
      <c r="L18" s="25" t="b">
        <v>0</v>
      </c>
    </row>
    <row r="19" ht="22" customHeight="1" spans="1:12" x14ac:dyDescent="0.25">
      <c r="A19" s="22" t="s">
        <v>77</v>
      </c>
      <c r="B19" s="10"/>
      <c r="C19" s="23"/>
      <c r="D19" s="23"/>
      <c r="E19" s="23"/>
      <c r="F19" s="23"/>
      <c r="G19" s="23"/>
      <c r="H19" s="23"/>
      <c r="I19" s="23"/>
      <c r="J19" s="23"/>
      <c r="K19" s="24" t="s">
        <v>13</v>
      </c>
      <c r="L19" s="25" t="b">
        <v>0</v>
      </c>
    </row>
    <row r="20" ht="44" customHeight="1" spans="1:12" x14ac:dyDescent="0.25">
      <c r="A20" s="26" t="s">
        <v>78</v>
      </c>
      <c r="B20" s="7" t="s">
        <v>79</v>
      </c>
      <c r="C20" s="24" t="s">
        <v>80</v>
      </c>
      <c r="D20" s="7" t="s">
        <v>81</v>
      </c>
      <c r="E20" s="24" t="s">
        <v>34</v>
      </c>
      <c r="F20" s="24" t="s">
        <v>59</v>
      </c>
      <c r="G20" s="24" t="s">
        <v>34</v>
      </c>
      <c r="H20" s="24" t="s">
        <v>13</v>
      </c>
      <c r="I20" s="24" t="s">
        <v>67</v>
      </c>
      <c r="J20" s="7" t="s">
        <v>34</v>
      </c>
      <c r="K20" s="24" t="s">
        <v>13</v>
      </c>
      <c r="L20" s="25" t="b">
        <v>0</v>
      </c>
    </row>
    <row r="21" ht="44" customHeight="1" spans="1:12" x14ac:dyDescent="0.25">
      <c r="A21" s="26" t="s">
        <v>82</v>
      </c>
      <c r="B21" s="7" t="s">
        <v>83</v>
      </c>
      <c r="C21" s="24" t="s">
        <v>80</v>
      </c>
      <c r="D21" s="7" t="s">
        <v>84</v>
      </c>
      <c r="E21" s="24" t="s">
        <v>34</v>
      </c>
      <c r="F21" s="24" t="s">
        <v>85</v>
      </c>
      <c r="G21" s="24" t="s">
        <v>34</v>
      </c>
      <c r="H21" s="24" t="s">
        <v>13</v>
      </c>
      <c r="I21" s="24" t="s">
        <v>60</v>
      </c>
      <c r="J21" s="7" t="s">
        <v>34</v>
      </c>
      <c r="K21" s="24" t="s">
        <v>13</v>
      </c>
      <c r="L21" s="25" t="b">
        <v>0</v>
      </c>
    </row>
    <row r="22" ht="44" customHeight="1" spans="1:12" x14ac:dyDescent="0.25">
      <c r="A22" s="26" t="s">
        <v>86</v>
      </c>
      <c r="B22" s="7" t="s">
        <v>87</v>
      </c>
      <c r="C22" s="24" t="s">
        <v>80</v>
      </c>
      <c r="D22" s="7" t="s">
        <v>88</v>
      </c>
      <c r="E22" s="24" t="s">
        <v>34</v>
      </c>
      <c r="F22" s="24" t="s">
        <v>59</v>
      </c>
      <c r="G22" s="24" t="s">
        <v>34</v>
      </c>
      <c r="H22" s="24" t="s">
        <v>13</v>
      </c>
      <c r="I22" s="24" t="s">
        <v>67</v>
      </c>
      <c r="J22" s="7" t="s">
        <v>34</v>
      </c>
      <c r="K22" s="24" t="s">
        <v>13</v>
      </c>
      <c r="L22" s="25" t="b">
        <v>0</v>
      </c>
    </row>
    <row r="23" ht="44" customHeight="1" spans="1:12" x14ac:dyDescent="0.25">
      <c r="A23" s="26" t="s">
        <v>89</v>
      </c>
      <c r="B23" s="7" t="s">
        <v>90</v>
      </c>
      <c r="C23" s="24" t="s">
        <v>80</v>
      </c>
      <c r="D23" s="7" t="s">
        <v>91</v>
      </c>
      <c r="E23" s="24" t="s">
        <v>34</v>
      </c>
      <c r="F23" s="24" t="s">
        <v>59</v>
      </c>
      <c r="G23" s="24" t="s">
        <v>34</v>
      </c>
      <c r="H23" s="24" t="s">
        <v>13</v>
      </c>
      <c r="I23" s="24" t="s">
        <v>67</v>
      </c>
      <c r="J23" s="7" t="s">
        <v>34</v>
      </c>
      <c r="K23" s="24" t="s">
        <v>13</v>
      </c>
      <c r="L23" s="25" t="b">
        <v>0</v>
      </c>
    </row>
    <row r="24" ht="44" customHeight="1" spans="1:12" x14ac:dyDescent="0.25">
      <c r="A24" s="26" t="s">
        <v>92</v>
      </c>
      <c r="B24" s="7" t="s">
        <v>93</v>
      </c>
      <c r="C24" s="24" t="s">
        <v>80</v>
      </c>
      <c r="D24" s="7" t="s">
        <v>94</v>
      </c>
      <c r="E24" s="24" t="s">
        <v>34</v>
      </c>
      <c r="F24" s="24" t="s">
        <v>59</v>
      </c>
      <c r="G24" s="24" t="s">
        <v>34</v>
      </c>
      <c r="H24" s="24" t="s">
        <v>13</v>
      </c>
      <c r="I24" s="24" t="s">
        <v>67</v>
      </c>
      <c r="J24" s="7" t="s">
        <v>34</v>
      </c>
      <c r="K24" s="24" t="s">
        <v>13</v>
      </c>
      <c r="L24" s="25" t="b">
        <v>0</v>
      </c>
    </row>
    <row r="25" ht="22" customHeight="1" spans="1:12" x14ac:dyDescent="0.25">
      <c r="A25" s="22" t="s">
        <v>95</v>
      </c>
      <c r="B25" s="10"/>
      <c r="C25" s="23"/>
      <c r="D25" s="23"/>
      <c r="E25" s="23"/>
      <c r="F25" s="23"/>
      <c r="G25" s="23"/>
      <c r="H25" s="23"/>
      <c r="I25" s="23"/>
      <c r="J25" s="23"/>
      <c r="K25" s="24" t="s">
        <v>13</v>
      </c>
      <c r="L25" s="25" t="b">
        <v>0</v>
      </c>
    </row>
    <row r="26" ht="44" customHeight="1" spans="1:12" x14ac:dyDescent="0.25">
      <c r="A26" s="26" t="s">
        <v>96</v>
      </c>
      <c r="B26" s="7" t="s">
        <v>97</v>
      </c>
      <c r="C26" s="24" t="s">
        <v>98</v>
      </c>
      <c r="D26" s="7" t="s">
        <v>99</v>
      </c>
      <c r="E26" s="24" t="s">
        <v>34</v>
      </c>
      <c r="F26" s="24" t="s">
        <v>59</v>
      </c>
      <c r="G26" s="24" t="s">
        <v>34</v>
      </c>
      <c r="H26" s="24" t="s">
        <v>13</v>
      </c>
      <c r="I26" s="24" t="s">
        <v>60</v>
      </c>
      <c r="J26" s="7" t="s">
        <v>34</v>
      </c>
      <c r="K26" s="24" t="s">
        <v>13</v>
      </c>
      <c r="L26" s="25" t="b">
        <v>0</v>
      </c>
    </row>
    <row r="27" ht="44" customHeight="1" spans="1:12" x14ac:dyDescent="0.25">
      <c r="A27" s="26" t="s">
        <v>100</v>
      </c>
      <c r="B27" s="7" t="s">
        <v>101</v>
      </c>
      <c r="C27" s="24" t="s">
        <v>98</v>
      </c>
      <c r="D27" s="7" t="s">
        <v>102</v>
      </c>
      <c r="E27" s="24" t="s">
        <v>34</v>
      </c>
      <c r="F27" s="24" t="s">
        <v>59</v>
      </c>
      <c r="G27" s="24" t="s">
        <v>34</v>
      </c>
      <c r="H27" s="24" t="s">
        <v>13</v>
      </c>
      <c r="I27" s="24" t="s">
        <v>60</v>
      </c>
      <c r="J27" s="7" t="s">
        <v>34</v>
      </c>
      <c r="K27" s="24" t="s">
        <v>13</v>
      </c>
      <c r="L27" s="25" t="b">
        <v>0</v>
      </c>
    </row>
    <row r="28" ht="44" customHeight="1" spans="1:12" x14ac:dyDescent="0.25">
      <c r="A28" s="26" t="s">
        <v>103</v>
      </c>
      <c r="B28" s="7" t="s">
        <v>104</v>
      </c>
      <c r="C28" s="24" t="s">
        <v>98</v>
      </c>
      <c r="D28" s="7" t="s">
        <v>105</v>
      </c>
      <c r="E28" s="24" t="s">
        <v>34</v>
      </c>
      <c r="F28" s="24" t="s">
        <v>59</v>
      </c>
      <c r="G28" s="24" t="s">
        <v>34</v>
      </c>
      <c r="H28" s="24" t="s">
        <v>13</v>
      </c>
      <c r="I28" s="24" t="s">
        <v>67</v>
      </c>
      <c r="J28" s="7" t="s">
        <v>34</v>
      </c>
      <c r="K28" s="24" t="s">
        <v>13</v>
      </c>
      <c r="L28" s="25" t="b">
        <v>0</v>
      </c>
    </row>
    <row r="29" ht="44" customHeight="1" spans="1:12" x14ac:dyDescent="0.25">
      <c r="A29" s="26" t="s">
        <v>106</v>
      </c>
      <c r="B29" s="7" t="s">
        <v>107</v>
      </c>
      <c r="C29" s="24" t="s">
        <v>98</v>
      </c>
      <c r="D29" s="7" t="s">
        <v>108</v>
      </c>
      <c r="E29" s="24" t="s">
        <v>34</v>
      </c>
      <c r="F29" s="24" t="s">
        <v>59</v>
      </c>
      <c r="G29" s="24" t="s">
        <v>34</v>
      </c>
      <c r="H29" s="24" t="s">
        <v>13</v>
      </c>
      <c r="I29" s="24" t="s">
        <v>109</v>
      </c>
      <c r="J29" s="7" t="s">
        <v>34</v>
      </c>
      <c r="K29" s="24" t="s">
        <v>13</v>
      </c>
      <c r="L29" s="25" t="b">
        <v>0</v>
      </c>
    </row>
    <row r="30" ht="22" customHeight="1" spans="1:12" x14ac:dyDescent="0.25">
      <c r="A30" s="22" t="s">
        <v>110</v>
      </c>
      <c r="B30" s="10"/>
      <c r="C30" s="23"/>
      <c r="D30" s="23"/>
      <c r="E30" s="23"/>
      <c r="F30" s="23"/>
      <c r="G30" s="23"/>
      <c r="H30" s="23"/>
      <c r="I30" s="23"/>
      <c r="J30" s="23"/>
      <c r="K30" s="24" t="s">
        <v>13</v>
      </c>
      <c r="L30" s="25" t="b">
        <v>0</v>
      </c>
    </row>
    <row r="31" ht="44" customHeight="1" spans="1:12" x14ac:dyDescent="0.25">
      <c r="A31" s="26" t="s">
        <v>111</v>
      </c>
      <c r="B31" s="7" t="s">
        <v>112</v>
      </c>
      <c r="C31" s="24" t="s">
        <v>113</v>
      </c>
      <c r="D31" s="7" t="s">
        <v>114</v>
      </c>
      <c r="E31" s="24" t="s">
        <v>34</v>
      </c>
      <c r="F31" s="24" t="s">
        <v>85</v>
      </c>
      <c r="G31" s="24" t="s">
        <v>34</v>
      </c>
      <c r="H31" s="24" t="s">
        <v>13</v>
      </c>
      <c r="I31" s="24" t="s">
        <v>60</v>
      </c>
      <c r="J31" s="7" t="s">
        <v>34</v>
      </c>
      <c r="K31" s="24" t="s">
        <v>13</v>
      </c>
      <c r="L31" s="25" t="b">
        <v>0</v>
      </c>
    </row>
    <row r="32" ht="44" customHeight="1" spans="1:12" x14ac:dyDescent="0.25">
      <c r="A32" s="26" t="s">
        <v>115</v>
      </c>
      <c r="B32" s="7" t="s">
        <v>116</v>
      </c>
      <c r="C32" s="24" t="s">
        <v>113</v>
      </c>
      <c r="D32" s="7" t="s">
        <v>117</v>
      </c>
      <c r="E32" s="24" t="s">
        <v>34</v>
      </c>
      <c r="F32" s="24" t="s">
        <v>59</v>
      </c>
      <c r="G32" s="24" t="s">
        <v>34</v>
      </c>
      <c r="H32" s="24" t="s">
        <v>13</v>
      </c>
      <c r="I32" s="24" t="s">
        <v>60</v>
      </c>
      <c r="J32" s="7" t="s">
        <v>34</v>
      </c>
      <c r="K32" s="24" t="s">
        <v>13</v>
      </c>
      <c r="L32" s="25" t="b">
        <v>0</v>
      </c>
    </row>
    <row r="33" ht="44" customHeight="1" spans="1:12" x14ac:dyDescent="0.25">
      <c r="A33" s="26" t="s">
        <v>118</v>
      </c>
      <c r="B33" s="7" t="s">
        <v>119</v>
      </c>
      <c r="C33" s="24" t="s">
        <v>113</v>
      </c>
      <c r="D33" s="7" t="s">
        <v>120</v>
      </c>
      <c r="E33" s="24" t="s">
        <v>34</v>
      </c>
      <c r="F33" s="24" t="s">
        <v>59</v>
      </c>
      <c r="G33" s="24" t="s">
        <v>34</v>
      </c>
      <c r="H33" s="24" t="s">
        <v>13</v>
      </c>
      <c r="I33" s="24" t="s">
        <v>67</v>
      </c>
      <c r="J33" s="7" t="s">
        <v>34</v>
      </c>
      <c r="K33" s="24" t="s">
        <v>13</v>
      </c>
      <c r="L33" s="25" t="b">
        <v>0</v>
      </c>
    </row>
    <row r="34" ht="44" customHeight="1" spans="1:12" x14ac:dyDescent="0.25">
      <c r="A34" s="26" t="s">
        <v>121</v>
      </c>
      <c r="B34" s="7" t="s">
        <v>122</v>
      </c>
      <c r="C34" s="24" t="s">
        <v>113</v>
      </c>
      <c r="D34" s="7" t="s">
        <v>123</v>
      </c>
      <c r="E34" s="24" t="s">
        <v>34</v>
      </c>
      <c r="F34" s="24" t="s">
        <v>85</v>
      </c>
      <c r="G34" s="24" t="s">
        <v>34</v>
      </c>
      <c r="H34" s="24" t="s">
        <v>13</v>
      </c>
      <c r="I34" s="24" t="s">
        <v>109</v>
      </c>
      <c r="J34" s="7" t="s">
        <v>34</v>
      </c>
      <c r="K34" s="24" t="s">
        <v>13</v>
      </c>
      <c r="L34" s="25" t="b">
        <v>0</v>
      </c>
    </row>
    <row r="35" ht="22" customHeight="1" spans="1:12" x14ac:dyDescent="0.25">
      <c r="A35" s="22" t="s">
        <v>124</v>
      </c>
      <c r="B35" s="10"/>
      <c r="C35" s="23"/>
      <c r="D35" s="23"/>
      <c r="E35" s="23"/>
      <c r="F35" s="23"/>
      <c r="G35" s="23"/>
      <c r="H35" s="23"/>
      <c r="I35" s="23"/>
      <c r="J35" s="23"/>
      <c r="K35" s="24" t="s">
        <v>13</v>
      </c>
      <c r="L35" s="25" t="b">
        <v>0</v>
      </c>
    </row>
    <row r="36" ht="44" customHeight="1" spans="1:12" x14ac:dyDescent="0.25">
      <c r="A36" s="26" t="s">
        <v>125</v>
      </c>
      <c r="B36" s="7" t="s">
        <v>126</v>
      </c>
      <c r="C36" s="24" t="s">
        <v>127</v>
      </c>
      <c r="D36" s="7" t="s">
        <v>128</v>
      </c>
      <c r="E36" s="24" t="s">
        <v>34</v>
      </c>
      <c r="F36" s="24" t="s">
        <v>85</v>
      </c>
      <c r="G36" s="24" t="s">
        <v>34</v>
      </c>
      <c r="H36" s="24" t="s">
        <v>13</v>
      </c>
      <c r="I36" s="24" t="s">
        <v>60</v>
      </c>
      <c r="J36" s="7" t="s">
        <v>34</v>
      </c>
      <c r="K36" s="24" t="s">
        <v>13</v>
      </c>
      <c r="L36" s="25" t="b">
        <v>0</v>
      </c>
    </row>
    <row r="37" ht="44" customHeight="1" spans="1:12" x14ac:dyDescent="0.25">
      <c r="A37" s="26" t="s">
        <v>129</v>
      </c>
      <c r="B37" s="7" t="s">
        <v>130</v>
      </c>
      <c r="C37" s="24" t="s">
        <v>127</v>
      </c>
      <c r="D37" s="7" t="s">
        <v>131</v>
      </c>
      <c r="E37" s="24" t="s">
        <v>34</v>
      </c>
      <c r="F37" s="24" t="s">
        <v>85</v>
      </c>
      <c r="G37" s="24" t="s">
        <v>34</v>
      </c>
      <c r="H37" s="24" t="s">
        <v>13</v>
      </c>
      <c r="I37" s="24" t="s">
        <v>60</v>
      </c>
      <c r="J37" s="7" t="s">
        <v>34</v>
      </c>
      <c r="K37" s="24" t="s">
        <v>13</v>
      </c>
      <c r="L37" s="25" t="b">
        <v>0</v>
      </c>
    </row>
    <row r="38" ht="44" customHeight="1" spans="1:12" x14ac:dyDescent="0.25">
      <c r="A38" s="26" t="s">
        <v>132</v>
      </c>
      <c r="B38" s="7" t="s">
        <v>133</v>
      </c>
      <c r="C38" s="24" t="s">
        <v>127</v>
      </c>
      <c r="D38" s="7" t="s">
        <v>134</v>
      </c>
      <c r="E38" s="24" t="s">
        <v>34</v>
      </c>
      <c r="F38" s="24" t="s">
        <v>85</v>
      </c>
      <c r="G38" s="24" t="s">
        <v>34</v>
      </c>
      <c r="H38" s="24" t="s">
        <v>13</v>
      </c>
      <c r="I38" s="24" t="s">
        <v>67</v>
      </c>
      <c r="J38" s="7" t="s">
        <v>34</v>
      </c>
      <c r="K38" s="24" t="s">
        <v>13</v>
      </c>
      <c r="L38" s="25" t="b">
        <v>0</v>
      </c>
    </row>
    <row r="39" ht="34" customHeight="1" spans="1:12" x14ac:dyDescent="0.25">
      <c r="A39" s="26"/>
      <c r="B39" s="7"/>
      <c r="C39" s="24"/>
      <c r="D39" s="7"/>
      <c r="E39" s="24"/>
      <c r="F39" s="24"/>
      <c r="G39" s="24"/>
      <c r="H39" s="24"/>
      <c r="I39" s="24"/>
      <c r="J39" s="7"/>
      <c r="K39" s="24" t="s">
        <v>13</v>
      </c>
      <c r="L39" s="25" t="b">
        <v>0</v>
      </c>
    </row>
    <row r="40" ht="34" customHeight="1" spans="1:12" x14ac:dyDescent="0.25">
      <c r="A40" s="26"/>
      <c r="B40" s="7"/>
      <c r="C40" s="24"/>
      <c r="D40" s="7"/>
      <c r="E40" s="24"/>
      <c r="F40" s="24"/>
      <c r="G40" s="24"/>
      <c r="H40" s="24"/>
      <c r="I40" s="24"/>
      <c r="J40" s="7"/>
      <c r="K40" s="24" t="s">
        <v>13</v>
      </c>
      <c r="L40" s="25" t="b">
        <v>0</v>
      </c>
    </row>
    <row r="41" ht="34" customHeight="1" spans="1:12" x14ac:dyDescent="0.25">
      <c r="A41" s="26"/>
      <c r="B41" s="7"/>
      <c r="C41" s="24"/>
      <c r="D41" s="7"/>
      <c r="E41" s="24"/>
      <c r="F41" s="24"/>
      <c r="G41" s="24"/>
      <c r="H41" s="24"/>
      <c r="I41" s="24"/>
      <c r="J41" s="7"/>
      <c r="K41" s="24" t="s">
        <v>13</v>
      </c>
      <c r="L41" s="25" t="b">
        <v>0</v>
      </c>
    </row>
    <row r="42" ht="34" customHeight="1" spans="1:12" x14ac:dyDescent="0.25">
      <c r="A42" s="26"/>
      <c r="B42" s="7"/>
      <c r="C42" s="24"/>
      <c r="D42" s="7"/>
      <c r="E42" s="24"/>
      <c r="F42" s="24"/>
      <c r="G42" s="24"/>
      <c r="H42" s="24"/>
      <c r="I42" s="24"/>
      <c r="J42" s="7"/>
      <c r="K42" s="24" t="s">
        <v>13</v>
      </c>
      <c r="L42" s="25" t="b">
        <v>0</v>
      </c>
    </row>
    <row r="43" ht="34" customHeight="1" spans="1:12" x14ac:dyDescent="0.25">
      <c r="A43" s="26"/>
      <c r="B43" s="7"/>
      <c r="C43" s="24"/>
      <c r="D43" s="7"/>
      <c r="E43" s="24"/>
      <c r="F43" s="24"/>
      <c r="G43" s="24"/>
      <c r="H43" s="24"/>
      <c r="I43" s="24"/>
      <c r="J43" s="7"/>
      <c r="K43" s="24" t="s">
        <v>13</v>
      </c>
      <c r="L43" s="25" t="b">
        <v>0</v>
      </c>
    </row>
    <row r="44" ht="34" customHeight="1" spans="1:12" x14ac:dyDescent="0.25">
      <c r="A44" s="26"/>
      <c r="B44" s="7"/>
      <c r="C44" s="24"/>
      <c r="D44" s="7"/>
      <c r="E44" s="24"/>
      <c r="F44" s="24"/>
      <c r="G44" s="24"/>
      <c r="H44" s="24"/>
      <c r="I44" s="24"/>
      <c r="J44" s="7"/>
      <c r="K44" s="24" t="s">
        <v>13</v>
      </c>
      <c r="L44" s="25" t="b">
        <v>0</v>
      </c>
    </row>
    <row r="45" ht="34" customHeight="1" spans="1:12" x14ac:dyDescent="0.25">
      <c r="A45" s="26"/>
      <c r="B45" s="7"/>
      <c r="C45" s="24"/>
      <c r="D45" s="7"/>
      <c r="E45" s="24"/>
      <c r="F45" s="24"/>
      <c r="G45" s="24"/>
      <c r="H45" s="24"/>
      <c r="I45" s="24"/>
      <c r="J45" s="7"/>
      <c r="K45" s="24" t="s">
        <v>13</v>
      </c>
      <c r="L45" s="25" t="b">
        <v>0</v>
      </c>
    </row>
    <row r="46" ht="34" customHeight="1" spans="1:12" x14ac:dyDescent="0.25">
      <c r="A46" s="26"/>
      <c r="B46" s="7"/>
      <c r="C46" s="24"/>
      <c r="D46" s="7"/>
      <c r="E46" s="24"/>
      <c r="F46" s="24"/>
      <c r="G46" s="24"/>
      <c r="H46" s="24"/>
      <c r="I46" s="24"/>
      <c r="J46" s="7"/>
      <c r="K46" s="24" t="s">
        <v>13</v>
      </c>
      <c r="L46" s="25" t="b">
        <v>0</v>
      </c>
    </row>
    <row r="47" ht="34" customHeight="1" spans="1:12" x14ac:dyDescent="0.25">
      <c r="A47" s="26"/>
      <c r="B47" s="7"/>
      <c r="C47" s="24"/>
      <c r="D47" s="7"/>
      <c r="E47" s="24"/>
      <c r="F47" s="24"/>
      <c r="G47" s="24"/>
      <c r="H47" s="24"/>
      <c r="I47" s="24"/>
      <c r="J47" s="7"/>
      <c r="K47" s="24" t="s">
        <v>13</v>
      </c>
      <c r="L47" s="25" t="b">
        <v>0</v>
      </c>
    </row>
    <row r="48" ht="34" customHeight="1" spans="1:12" x14ac:dyDescent="0.25">
      <c r="A48" s="26"/>
      <c r="B48" s="7"/>
      <c r="C48" s="24"/>
      <c r="D48" s="7"/>
      <c r="E48" s="24"/>
      <c r="F48" s="24"/>
      <c r="G48" s="24"/>
      <c r="H48" s="24"/>
      <c r="I48" s="24"/>
      <c r="J48" s="7"/>
      <c r="K48" s="24" t="s">
        <v>13</v>
      </c>
      <c r="L48" s="25" t="b">
        <v>0</v>
      </c>
    </row>
    <row r="49" ht="34" customHeight="1" spans="1:12" x14ac:dyDescent="0.25">
      <c r="A49" s="26"/>
      <c r="B49" s="7"/>
      <c r="C49" s="24"/>
      <c r="D49" s="7"/>
      <c r="E49" s="24"/>
      <c r="F49" s="24"/>
      <c r="G49" s="24"/>
      <c r="H49" s="24"/>
      <c r="I49" s="24"/>
      <c r="J49" s="7"/>
      <c r="K49" s="24" t="s">
        <v>13</v>
      </c>
      <c r="L49" s="25" t="b">
        <v>0</v>
      </c>
    </row>
    <row r="50" ht="34" customHeight="1" spans="1:12" x14ac:dyDescent="0.25">
      <c r="A50" s="26"/>
      <c r="B50" s="7"/>
      <c r="C50" s="24"/>
      <c r="D50" s="7"/>
      <c r="E50" s="24"/>
      <c r="F50" s="24"/>
      <c r="G50" s="24"/>
      <c r="H50" s="24"/>
      <c r="I50" s="24"/>
      <c r="J50" s="7"/>
      <c r="K50" s="24" t="s">
        <v>13</v>
      </c>
      <c r="L50" s="25" t="b">
        <v>0</v>
      </c>
    </row>
    <row r="51" ht="34" customHeight="1" spans="1:12" x14ac:dyDescent="0.25">
      <c r="A51" s="26"/>
      <c r="B51" s="7"/>
      <c r="C51" s="24"/>
      <c r="D51" s="7"/>
      <c r="E51" s="24"/>
      <c r="F51" s="24"/>
      <c r="G51" s="24"/>
      <c r="H51" s="24"/>
      <c r="I51" s="24"/>
      <c r="J51" s="7"/>
      <c r="K51" s="24" t="s">
        <v>13</v>
      </c>
      <c r="L51" s="25" t="b">
        <v>0</v>
      </c>
    </row>
    <row r="52" ht="34" customHeight="1" spans="1:12" x14ac:dyDescent="0.25">
      <c r="A52" s="26"/>
      <c r="B52" s="7"/>
      <c r="C52" s="24"/>
      <c r="D52" s="7"/>
      <c r="E52" s="24"/>
      <c r="F52" s="24"/>
      <c r="G52" s="24"/>
      <c r="H52" s="24"/>
      <c r="I52" s="24"/>
      <c r="J52" s="7"/>
      <c r="K52" s="24" t="s">
        <v>13</v>
      </c>
      <c r="L52" s="25" t="b">
        <v>0</v>
      </c>
    </row>
    <row r="53" ht="34" customHeight="1" spans="1:12" x14ac:dyDescent="0.25">
      <c r="A53" s="26"/>
      <c r="B53" s="7"/>
      <c r="C53" s="24"/>
      <c r="D53" s="7"/>
      <c r="E53" s="24"/>
      <c r="F53" s="24"/>
      <c r="G53" s="24"/>
      <c r="H53" s="24"/>
      <c r="I53" s="24"/>
      <c r="J53" s="7"/>
      <c r="K53" s="24" t="s">
        <v>13</v>
      </c>
      <c r="L53" s="25" t="b">
        <v>0</v>
      </c>
    </row>
    <row r="54" ht="34" customHeight="1" spans="1:12" x14ac:dyDescent="0.25">
      <c r="A54" s="26"/>
      <c r="B54" s="7"/>
      <c r="C54" s="24"/>
      <c r="D54" s="7"/>
      <c r="E54" s="24"/>
      <c r="F54" s="24"/>
      <c r="G54" s="24"/>
      <c r="H54" s="24"/>
      <c r="I54" s="24"/>
      <c r="J54" s="7"/>
      <c r="K54" s="24" t="s">
        <v>13</v>
      </c>
      <c r="L54" s="25" t="b">
        <v>0</v>
      </c>
    </row>
    <row r="55" ht="34" customHeight="1" spans="1:12" x14ac:dyDescent="0.25">
      <c r="A55" s="26"/>
      <c r="B55" s="7"/>
      <c r="C55" s="24"/>
      <c r="D55" s="7"/>
      <c r="E55" s="24"/>
      <c r="F55" s="24"/>
      <c r="G55" s="24"/>
      <c r="H55" s="24"/>
      <c r="I55" s="24"/>
      <c r="J55" s="7"/>
      <c r="K55" s="24" t="s">
        <v>13</v>
      </c>
      <c r="L55" s="25" t="b">
        <v>0</v>
      </c>
    </row>
    <row r="56" ht="34" customHeight="1" spans="1:12" x14ac:dyDescent="0.25">
      <c r="A56" s="26"/>
      <c r="B56" s="7"/>
      <c r="C56" s="24"/>
      <c r="D56" s="7"/>
      <c r="E56" s="24"/>
      <c r="F56" s="24"/>
      <c r="G56" s="24"/>
      <c r="H56" s="24"/>
      <c r="I56" s="24"/>
      <c r="J56" s="7"/>
      <c r="K56" s="24" t="s">
        <v>13</v>
      </c>
      <c r="L56" s="25" t="b">
        <v>0</v>
      </c>
    </row>
    <row r="57" ht="34" customHeight="1" spans="1:12" x14ac:dyDescent="0.25">
      <c r="A57" s="26"/>
      <c r="B57" s="7"/>
      <c r="C57" s="24"/>
      <c r="D57" s="7"/>
      <c r="E57" s="24"/>
      <c r="F57" s="24"/>
      <c r="G57" s="24"/>
      <c r="H57" s="24"/>
      <c r="I57" s="24"/>
      <c r="J57" s="7"/>
      <c r="K57" s="24" t="s">
        <v>13</v>
      </c>
      <c r="L57" s="25" t="b">
        <v>0</v>
      </c>
    </row>
    <row r="58" ht="34" customHeight="1" spans="1:12" x14ac:dyDescent="0.25">
      <c r="A58" s="26"/>
      <c r="B58" s="7"/>
      <c r="C58" s="24"/>
      <c r="D58" s="7"/>
      <c r="E58" s="24"/>
      <c r="F58" s="24"/>
      <c r="G58" s="24"/>
      <c r="H58" s="24"/>
      <c r="I58" s="24"/>
      <c r="J58" s="7"/>
      <c r="K58" s="24" t="s">
        <v>13</v>
      </c>
      <c r="L58" s="25" t="b">
        <v>0</v>
      </c>
    </row>
    <row r="59" ht="34" customHeight="1" spans="1:12" x14ac:dyDescent="0.25">
      <c r="A59" s="26"/>
      <c r="B59" s="7"/>
      <c r="C59" s="24"/>
      <c r="D59" s="7"/>
      <c r="E59" s="24"/>
      <c r="F59" s="24"/>
      <c r="G59" s="24"/>
      <c r="H59" s="24"/>
      <c r="I59" s="24"/>
      <c r="J59" s="7"/>
      <c r="K59" s="24" t="s">
        <v>13</v>
      </c>
      <c r="L59" s="25" t="b">
        <v>0</v>
      </c>
    </row>
    <row r="60" ht="34" customHeight="1" spans="1:12" x14ac:dyDescent="0.25">
      <c r="A60" s="26"/>
      <c r="B60" s="7"/>
      <c r="C60" s="24"/>
      <c r="D60" s="7"/>
      <c r="E60" s="24"/>
      <c r="F60" s="24"/>
      <c r="G60" s="24"/>
      <c r="H60" s="24"/>
      <c r="I60" s="24"/>
      <c r="J60" s="7"/>
      <c r="K60" s="24" t="s">
        <v>13</v>
      </c>
      <c r="L60" s="25" t="b">
        <v>0</v>
      </c>
    </row>
    <row r="61" ht="34" customHeight="1" spans="1:12" x14ac:dyDescent="0.25">
      <c r="A61" s="26"/>
      <c r="B61" s="7"/>
      <c r="C61" s="24"/>
      <c r="D61" s="7"/>
      <c r="E61" s="24"/>
      <c r="F61" s="24"/>
      <c r="G61" s="24"/>
      <c r="H61" s="24"/>
      <c r="I61" s="24"/>
      <c r="J61" s="7"/>
      <c r="K61" s="24" t="s">
        <v>13</v>
      </c>
      <c r="L61" s="25" t="b">
        <v>0</v>
      </c>
    </row>
    <row r="62" ht="34" customHeight="1" spans="1:12" x14ac:dyDescent="0.25">
      <c r="A62" s="26"/>
      <c r="B62" s="7"/>
      <c r="C62" s="24"/>
      <c r="D62" s="7"/>
      <c r="E62" s="24"/>
      <c r="F62" s="24"/>
      <c r="G62" s="24"/>
      <c r="H62" s="24"/>
      <c r="I62" s="24"/>
      <c r="J62" s="7"/>
      <c r="K62" s="24" t="s">
        <v>13</v>
      </c>
      <c r="L62" s="25" t="b">
        <v>0</v>
      </c>
    </row>
    <row r="63" ht="34" customHeight="1" spans="1:12" x14ac:dyDescent="0.25">
      <c r="A63" s="26"/>
      <c r="B63" s="7"/>
      <c r="C63" s="24"/>
      <c r="D63" s="7"/>
      <c r="E63" s="24"/>
      <c r="F63" s="24"/>
      <c r="G63" s="24"/>
      <c r="H63" s="24"/>
      <c r="I63" s="24"/>
      <c r="J63" s="7"/>
      <c r="K63" s="24" t="s">
        <v>13</v>
      </c>
      <c r="L63" s="25" t="b">
        <v>0</v>
      </c>
    </row>
    <row r="64" ht="34" customHeight="1" spans="1:12" x14ac:dyDescent="0.25">
      <c r="A64" s="26"/>
      <c r="B64" s="7"/>
      <c r="C64" s="24"/>
      <c r="D64" s="7"/>
      <c r="E64" s="24"/>
      <c r="F64" s="24"/>
      <c r="G64" s="24"/>
      <c r="H64" s="24"/>
      <c r="I64" s="24"/>
      <c r="J64" s="7"/>
      <c r="K64" s="24" t="s">
        <v>13</v>
      </c>
      <c r="L64" s="25" t="b">
        <v>0</v>
      </c>
    </row>
    <row r="65" ht="34" customHeight="1" spans="1:12" x14ac:dyDescent="0.25">
      <c r="A65" s="26"/>
      <c r="B65" s="7"/>
      <c r="C65" s="24"/>
      <c r="D65" s="7"/>
      <c r="E65" s="24"/>
      <c r="F65" s="24"/>
      <c r="G65" s="24"/>
      <c r="H65" s="24"/>
      <c r="I65" s="24"/>
      <c r="J65" s="7"/>
      <c r="K65" s="24" t="s">
        <v>13</v>
      </c>
      <c r="L65" s="25" t="b">
        <v>0</v>
      </c>
    </row>
    <row r="66" ht="34" customHeight="1" spans="1:12" x14ac:dyDescent="0.25">
      <c r="A66" s="26"/>
      <c r="B66" s="7"/>
      <c r="C66" s="24"/>
      <c r="D66" s="7"/>
      <c r="E66" s="24"/>
      <c r="F66" s="24"/>
      <c r="G66" s="24"/>
      <c r="H66" s="24"/>
      <c r="I66" s="24"/>
      <c r="J66" s="7"/>
      <c r="K66" s="24" t="s">
        <v>13</v>
      </c>
      <c r="L66" s="25" t="b">
        <v>0</v>
      </c>
    </row>
    <row r="67" ht="34" customHeight="1" spans="1:12" x14ac:dyDescent="0.25">
      <c r="A67" s="26"/>
      <c r="B67" s="7"/>
      <c r="C67" s="24"/>
      <c r="D67" s="7"/>
      <c r="E67" s="24"/>
      <c r="F67" s="24"/>
      <c r="G67" s="24"/>
      <c r="H67" s="24"/>
      <c r="I67" s="24"/>
      <c r="J67" s="7"/>
      <c r="K67" s="24" t="s">
        <v>13</v>
      </c>
      <c r="L67" s="25" t="b">
        <v>0</v>
      </c>
    </row>
    <row r="68" ht="34" customHeight="1" spans="1:12" x14ac:dyDescent="0.25">
      <c r="A68" s="26"/>
      <c r="B68" s="7"/>
      <c r="C68" s="24"/>
      <c r="D68" s="7"/>
      <c r="E68" s="24"/>
      <c r="F68" s="24"/>
      <c r="G68" s="24"/>
      <c r="H68" s="24"/>
      <c r="I68" s="24"/>
      <c r="J68" s="7"/>
      <c r="K68" s="24" t="s">
        <v>13</v>
      </c>
      <c r="L68" s="25" t="b">
        <v>0</v>
      </c>
    </row>
    <row r="69" ht="34" customHeight="1" spans="1:12" x14ac:dyDescent="0.25">
      <c r="A69" s="26"/>
      <c r="B69" s="7"/>
      <c r="C69" s="24"/>
      <c r="D69" s="7"/>
      <c r="E69" s="24"/>
      <c r="F69" s="24"/>
      <c r="G69" s="24"/>
      <c r="H69" s="24"/>
      <c r="I69" s="24"/>
      <c r="J69" s="7"/>
      <c r="K69" s="24" t="s">
        <v>13</v>
      </c>
      <c r="L69" s="25" t="b">
        <v>0</v>
      </c>
    </row>
    <row r="70" ht="34" customHeight="1" spans="1:12" x14ac:dyDescent="0.25">
      <c r="A70" s="26"/>
      <c r="B70" s="7"/>
      <c r="C70" s="24"/>
      <c r="D70" s="7"/>
      <c r="E70" s="24"/>
      <c r="F70" s="24"/>
      <c r="G70" s="24"/>
      <c r="H70" s="24"/>
      <c r="I70" s="24"/>
      <c r="J70" s="7"/>
      <c r="K70" s="24" t="s">
        <v>13</v>
      </c>
      <c r="L70" s="25" t="b">
        <v>0</v>
      </c>
    </row>
    <row r="71" ht="34" customHeight="1" spans="1:12" x14ac:dyDescent="0.25">
      <c r="A71" s="26"/>
      <c r="B71" s="7"/>
      <c r="C71" s="24"/>
      <c r="D71" s="7"/>
      <c r="E71" s="24"/>
      <c r="F71" s="24"/>
      <c r="G71" s="24"/>
      <c r="H71" s="24"/>
      <c r="I71" s="24"/>
      <c r="J71" s="7"/>
      <c r="K71" s="24" t="s">
        <v>13</v>
      </c>
      <c r="L71" s="25" t="b">
        <v>0</v>
      </c>
    </row>
    <row r="72" ht="34" customHeight="1" spans="1:12" x14ac:dyDescent="0.25">
      <c r="A72" s="26"/>
      <c r="B72" s="7"/>
      <c r="C72" s="24"/>
      <c r="D72" s="7"/>
      <c r="E72" s="24"/>
      <c r="F72" s="24"/>
      <c r="G72" s="24"/>
      <c r="H72" s="24"/>
      <c r="I72" s="24"/>
      <c r="J72" s="7"/>
      <c r="K72" s="24" t="s">
        <v>13</v>
      </c>
      <c r="L72" s="25" t="b">
        <v>0</v>
      </c>
    </row>
    <row r="73" ht="34" customHeight="1" spans="1:12" x14ac:dyDescent="0.25">
      <c r="A73" s="26"/>
      <c r="B73" s="7"/>
      <c r="C73" s="24"/>
      <c r="D73" s="7"/>
      <c r="E73" s="24"/>
      <c r="F73" s="24"/>
      <c r="G73" s="24"/>
      <c r="H73" s="24"/>
      <c r="I73" s="24"/>
      <c r="J73" s="7"/>
      <c r="K73" s="24" t="s">
        <v>13</v>
      </c>
      <c r="L73" s="25" t="b">
        <v>0</v>
      </c>
    </row>
    <row r="74" ht="34" customHeight="1" spans="1:12" x14ac:dyDescent="0.25">
      <c r="A74" s="26"/>
      <c r="B74" s="7"/>
      <c r="C74" s="24"/>
      <c r="D74" s="7"/>
      <c r="E74" s="24"/>
      <c r="F74" s="24"/>
      <c r="G74" s="24"/>
      <c r="H74" s="24"/>
      <c r="I74" s="24"/>
      <c r="J74" s="7"/>
      <c r="K74" s="24" t="s">
        <v>13</v>
      </c>
      <c r="L74" s="25" t="b">
        <v>0</v>
      </c>
    </row>
    <row r="75" ht="34" customHeight="1" spans="1:12" x14ac:dyDescent="0.25">
      <c r="A75" s="26"/>
      <c r="B75" s="7"/>
      <c r="C75" s="24"/>
      <c r="D75" s="7"/>
      <c r="E75" s="24"/>
      <c r="F75" s="24"/>
      <c r="G75" s="24"/>
      <c r="H75" s="24"/>
      <c r="I75" s="24"/>
      <c r="J75" s="7"/>
      <c r="K75" s="24" t="s">
        <v>13</v>
      </c>
      <c r="L75" s="25" t="b">
        <v>0</v>
      </c>
    </row>
    <row r="76" ht="34" customHeight="1" spans="1:12" x14ac:dyDescent="0.25">
      <c r="A76" s="26"/>
      <c r="B76" s="7"/>
      <c r="C76" s="24"/>
      <c r="D76" s="7"/>
      <c r="E76" s="24"/>
      <c r="F76" s="24"/>
      <c r="G76" s="24"/>
      <c r="H76" s="24"/>
      <c r="I76" s="24"/>
      <c r="J76" s="7"/>
      <c r="K76" s="24" t="s">
        <v>13</v>
      </c>
      <c r="L76" s="25" t="b">
        <v>0</v>
      </c>
    </row>
    <row r="77" ht="34" customHeight="1" spans="1:12" x14ac:dyDescent="0.25">
      <c r="A77" s="26"/>
      <c r="B77" s="7"/>
      <c r="C77" s="24"/>
      <c r="D77" s="7"/>
      <c r="E77" s="24"/>
      <c r="F77" s="24"/>
      <c r="G77" s="24"/>
      <c r="H77" s="24"/>
      <c r="I77" s="24"/>
      <c r="J77" s="7"/>
      <c r="K77" s="24" t="s">
        <v>13</v>
      </c>
      <c r="L77" s="25" t="b">
        <v>0</v>
      </c>
    </row>
    <row r="78" ht="34" customHeight="1" spans="1:12" x14ac:dyDescent="0.25">
      <c r="A78" s="26"/>
      <c r="B78" s="7"/>
      <c r="C78" s="24"/>
      <c r="D78" s="7"/>
      <c r="E78" s="24"/>
      <c r="F78" s="24"/>
      <c r="G78" s="24"/>
      <c r="H78" s="24"/>
      <c r="I78" s="24"/>
      <c r="J78" s="7"/>
      <c r="K78" s="24" t="s">
        <v>13</v>
      </c>
      <c r="L78" s="25" t="b">
        <v>0</v>
      </c>
    </row>
    <row r="79" ht="34" customHeight="1" spans="1:12" x14ac:dyDescent="0.25">
      <c r="A79" s="26"/>
      <c r="B79" s="7"/>
      <c r="C79" s="24"/>
      <c r="D79" s="7"/>
      <c r="E79" s="24"/>
      <c r="F79" s="24"/>
      <c r="G79" s="24"/>
      <c r="H79" s="24"/>
      <c r="I79" s="24"/>
      <c r="J79" s="7"/>
      <c r="K79" s="24" t="s">
        <v>13</v>
      </c>
      <c r="L79" s="25" t="b">
        <v>0</v>
      </c>
    </row>
    <row r="80" ht="34" customHeight="1" spans="1:12" x14ac:dyDescent="0.25">
      <c r="A80" s="26"/>
      <c r="B80" s="7"/>
      <c r="C80" s="24"/>
      <c r="D80" s="7"/>
      <c r="E80" s="24"/>
      <c r="F80" s="24"/>
      <c r="G80" s="24"/>
      <c r="H80" s="24"/>
      <c r="I80" s="24"/>
      <c r="J80" s="7"/>
      <c r="K80" s="24" t="s">
        <v>13</v>
      </c>
      <c r="L80" s="25" t="b">
        <v>0</v>
      </c>
    </row>
    <row r="81" ht="34" customHeight="1" spans="1:12" x14ac:dyDescent="0.25">
      <c r="A81" s="26"/>
      <c r="B81" s="7"/>
      <c r="C81" s="24"/>
      <c r="D81" s="7"/>
      <c r="E81" s="24"/>
      <c r="F81" s="24"/>
      <c r="G81" s="24"/>
      <c r="H81" s="24"/>
      <c r="I81" s="24"/>
      <c r="J81" s="7"/>
      <c r="K81" s="24" t="s">
        <v>13</v>
      </c>
      <c r="L81" s="25" t="b">
        <v>0</v>
      </c>
    </row>
    <row r="82" ht="34" customHeight="1" spans="1:12" x14ac:dyDescent="0.25">
      <c r="A82" s="26"/>
      <c r="B82" s="7"/>
      <c r="C82" s="24"/>
      <c r="D82" s="7"/>
      <c r="E82" s="24"/>
      <c r="F82" s="24"/>
      <c r="G82" s="24"/>
      <c r="H82" s="24"/>
      <c r="I82" s="24"/>
      <c r="J82" s="7"/>
      <c r="K82" s="24" t="s">
        <v>13</v>
      </c>
      <c r="L82" s="25" t="b">
        <v>0</v>
      </c>
    </row>
    <row r="83" ht="34" customHeight="1" spans="1:12" x14ac:dyDescent="0.25">
      <c r="A83" s="26"/>
      <c r="B83" s="7"/>
      <c r="C83" s="24"/>
      <c r="D83" s="7"/>
      <c r="E83" s="24"/>
      <c r="F83" s="24"/>
      <c r="G83" s="24"/>
      <c r="H83" s="24"/>
      <c r="I83" s="24"/>
      <c r="J83" s="7"/>
      <c r="K83" s="24" t="s">
        <v>13</v>
      </c>
      <c r="L83" s="25" t="b">
        <v>0</v>
      </c>
    </row>
    <row r="84" ht="34" customHeight="1" spans="1:12" x14ac:dyDescent="0.25">
      <c r="A84" s="26"/>
      <c r="B84" s="7"/>
      <c r="C84" s="24"/>
      <c r="D84" s="7"/>
      <c r="E84" s="24"/>
      <c r="F84" s="24"/>
      <c r="G84" s="24"/>
      <c r="H84" s="24"/>
      <c r="I84" s="24"/>
      <c r="J84" s="7"/>
      <c r="K84" s="24" t="s">
        <v>13</v>
      </c>
      <c r="L84" s="25" t="b">
        <v>0</v>
      </c>
    </row>
    <row r="85" ht="34" customHeight="1" spans="1:12" x14ac:dyDescent="0.25">
      <c r="A85" s="26"/>
      <c r="B85" s="7"/>
      <c r="C85" s="24"/>
      <c r="D85" s="7"/>
      <c r="E85" s="24"/>
      <c r="F85" s="24"/>
      <c r="G85" s="24"/>
      <c r="H85" s="24"/>
      <c r="I85" s="24"/>
      <c r="J85" s="7"/>
      <c r="K85" s="24" t="s">
        <v>13</v>
      </c>
      <c r="L85" s="25" t="b">
        <v>0</v>
      </c>
    </row>
    <row r="86" ht="34" customHeight="1" spans="1:12" x14ac:dyDescent="0.25">
      <c r="A86" s="26"/>
      <c r="B86" s="7"/>
      <c r="C86" s="24"/>
      <c r="D86" s="7"/>
      <c r="E86" s="24"/>
      <c r="F86" s="24"/>
      <c r="G86" s="24"/>
      <c r="H86" s="24"/>
      <c r="I86" s="24"/>
      <c r="J86" s="7"/>
      <c r="K86" s="24" t="s">
        <v>13</v>
      </c>
      <c r="L86" s="25" t="b">
        <v>0</v>
      </c>
    </row>
    <row r="87" ht="34" customHeight="1" spans="1:12" x14ac:dyDescent="0.25">
      <c r="A87" s="26"/>
      <c r="B87" s="7"/>
      <c r="C87" s="24"/>
      <c r="D87" s="7"/>
      <c r="E87" s="24"/>
      <c r="F87" s="24"/>
      <c r="G87" s="24"/>
      <c r="H87" s="24"/>
      <c r="I87" s="24"/>
      <c r="J87" s="7"/>
      <c r="K87" s="24" t="s">
        <v>13</v>
      </c>
      <c r="L87" s="25" t="b">
        <v>0</v>
      </c>
    </row>
    <row r="88" ht="34" customHeight="1" spans="1:12" x14ac:dyDescent="0.25">
      <c r="A88" s="26"/>
      <c r="B88" s="7"/>
      <c r="C88" s="24"/>
      <c r="D88" s="7"/>
      <c r="E88" s="24"/>
      <c r="F88" s="24"/>
      <c r="G88" s="24"/>
      <c r="H88" s="24"/>
      <c r="I88" s="24"/>
      <c r="J88" s="7"/>
      <c r="K88" s="24" t="s">
        <v>13</v>
      </c>
      <c r="L88" s="25" t="b">
        <v>0</v>
      </c>
    </row>
    <row r="89" ht="34" customHeight="1" spans="1:12" x14ac:dyDescent="0.25">
      <c r="A89" s="26"/>
      <c r="B89" s="7"/>
      <c r="C89" s="24"/>
      <c r="D89" s="7"/>
      <c r="E89" s="24"/>
      <c r="F89" s="24"/>
      <c r="G89" s="24"/>
      <c r="H89" s="24"/>
      <c r="I89" s="24"/>
      <c r="J89" s="7"/>
      <c r="K89" s="24" t="s">
        <v>13</v>
      </c>
      <c r="L89" s="25" t="b">
        <v>0</v>
      </c>
    </row>
    <row r="90" ht="34" customHeight="1" spans="1:12" x14ac:dyDescent="0.25">
      <c r="A90" s="26"/>
      <c r="B90" s="7"/>
      <c r="C90" s="24"/>
      <c r="D90" s="7"/>
      <c r="E90" s="24"/>
      <c r="F90" s="24"/>
      <c r="G90" s="24"/>
      <c r="H90" s="24"/>
      <c r="I90" s="24"/>
      <c r="J90" s="7"/>
      <c r="K90" s="24" t="s">
        <v>13</v>
      </c>
      <c r="L90" s="25" t="b">
        <v>0</v>
      </c>
    </row>
    <row r="91" ht="34" customHeight="1" spans="1:12" x14ac:dyDescent="0.25">
      <c r="A91" s="26"/>
      <c r="B91" s="7"/>
      <c r="C91" s="24"/>
      <c r="D91" s="7"/>
      <c r="E91" s="24"/>
      <c r="F91" s="24"/>
      <c r="G91" s="24"/>
      <c r="H91" s="24"/>
      <c r="I91" s="24"/>
      <c r="J91" s="7"/>
      <c r="K91" s="24" t="s">
        <v>13</v>
      </c>
      <c r="L91" s="25" t="b">
        <v>0</v>
      </c>
    </row>
    <row r="92" ht="34" customHeight="1" spans="1:12" x14ac:dyDescent="0.25">
      <c r="A92" s="26"/>
      <c r="B92" s="7"/>
      <c r="C92" s="24"/>
      <c r="D92" s="7"/>
      <c r="E92" s="24"/>
      <c r="F92" s="24"/>
      <c r="G92" s="24"/>
      <c r="H92" s="24"/>
      <c r="I92" s="24"/>
      <c r="J92" s="7"/>
      <c r="K92" s="24" t="s">
        <v>13</v>
      </c>
      <c r="L92" s="25" t="b">
        <v>0</v>
      </c>
    </row>
    <row r="93" ht="34" customHeight="1" spans="1:12" x14ac:dyDescent="0.25">
      <c r="A93" s="26"/>
      <c r="B93" s="7"/>
      <c r="C93" s="24"/>
      <c r="D93" s="7"/>
      <c r="E93" s="24"/>
      <c r="F93" s="24"/>
      <c r="G93" s="24"/>
      <c r="H93" s="24"/>
      <c r="I93" s="24"/>
      <c r="J93" s="7"/>
      <c r="K93" s="24" t="s">
        <v>13</v>
      </c>
      <c r="L93" s="25" t="b">
        <v>0</v>
      </c>
    </row>
    <row r="94" ht="34" customHeight="1" spans="1:12" x14ac:dyDescent="0.25">
      <c r="A94" s="26"/>
      <c r="B94" s="7"/>
      <c r="C94" s="24"/>
      <c r="D94" s="7"/>
      <c r="E94" s="24"/>
      <c r="F94" s="24"/>
      <c r="G94" s="24"/>
      <c r="H94" s="24"/>
      <c r="I94" s="24"/>
      <c r="J94" s="7"/>
      <c r="K94" s="24" t="s">
        <v>13</v>
      </c>
      <c r="L94" s="25" t="b">
        <v>0</v>
      </c>
    </row>
    <row r="95" ht="34" customHeight="1" spans="1:12" x14ac:dyDescent="0.25">
      <c r="A95" s="26"/>
      <c r="B95" s="7"/>
      <c r="C95" s="24"/>
      <c r="D95" s="7"/>
      <c r="E95" s="24"/>
      <c r="F95" s="24"/>
      <c r="G95" s="24"/>
      <c r="H95" s="24"/>
      <c r="I95" s="24"/>
      <c r="J95" s="7"/>
      <c r="K95" s="24" t="s">
        <v>13</v>
      </c>
      <c r="L95" s="25" t="b">
        <v>0</v>
      </c>
    </row>
    <row r="96" ht="34" customHeight="1" spans="1:12" x14ac:dyDescent="0.25">
      <c r="A96" s="26"/>
      <c r="B96" s="7"/>
      <c r="C96" s="24"/>
      <c r="D96" s="7"/>
      <c r="E96" s="24"/>
      <c r="F96" s="24"/>
      <c r="G96" s="24"/>
      <c r="H96" s="24"/>
      <c r="I96" s="24"/>
      <c r="J96" s="7"/>
      <c r="K96" s="24" t="s">
        <v>13</v>
      </c>
      <c r="L96" s="25" t="b">
        <v>0</v>
      </c>
    </row>
    <row r="97" ht="34" customHeight="1" spans="1:12" x14ac:dyDescent="0.25">
      <c r="A97" s="26"/>
      <c r="B97" s="7"/>
      <c r="C97" s="24"/>
      <c r="D97" s="7"/>
      <c r="E97" s="24"/>
      <c r="F97" s="24"/>
      <c r="G97" s="24"/>
      <c r="H97" s="24"/>
      <c r="I97" s="24"/>
      <c r="J97" s="7"/>
      <c r="K97" s="24" t="s">
        <v>13</v>
      </c>
      <c r="L97" s="25" t="b">
        <v>0</v>
      </c>
    </row>
    <row r="98" ht="34" customHeight="1" spans="1:12" x14ac:dyDescent="0.25">
      <c r="A98" s="26"/>
      <c r="B98" s="7"/>
      <c r="C98" s="24"/>
      <c r="D98" s="7"/>
      <c r="E98" s="24"/>
      <c r="F98" s="24"/>
      <c r="G98" s="24"/>
      <c r="H98" s="24"/>
      <c r="I98" s="24"/>
      <c r="J98" s="7"/>
      <c r="K98" s="24" t="s">
        <v>13</v>
      </c>
      <c r="L98" s="25" t="b">
        <v>0</v>
      </c>
    </row>
    <row r="99" ht="34" customHeight="1" spans="1:12" x14ac:dyDescent="0.25">
      <c r="A99" s="26"/>
      <c r="B99" s="7"/>
      <c r="C99" s="24"/>
      <c r="D99" s="7"/>
      <c r="E99" s="24"/>
      <c r="F99" s="24"/>
      <c r="G99" s="24"/>
      <c r="H99" s="24"/>
      <c r="I99" s="24"/>
      <c r="J99" s="7"/>
      <c r="K99" s="24" t="s">
        <v>13</v>
      </c>
      <c r="L99" s="25" t="b">
        <v>0</v>
      </c>
    </row>
    <row r="100" ht="34" customHeight="1" spans="1:12" x14ac:dyDescent="0.25">
      <c r="A100" s="26"/>
      <c r="B100" s="7"/>
      <c r="C100" s="24"/>
      <c r="D100" s="7"/>
      <c r="E100" s="24"/>
      <c r="F100" s="24"/>
      <c r="G100" s="24"/>
      <c r="H100" s="24"/>
      <c r="I100" s="24"/>
      <c r="J100" s="7"/>
      <c r="K100" s="24" t="s">
        <v>13</v>
      </c>
      <c r="L100" s="25" t="b">
        <v>0</v>
      </c>
    </row>
    <row r="101" spans="3:12" x14ac:dyDescent="0.25">
      <c r="C101" s="23"/>
      <c r="D101" s="23"/>
      <c r="E101" s="23"/>
      <c r="F101" s="23"/>
      <c r="G101" s="23"/>
      <c r="H101" s="23"/>
      <c r="I101" s="23"/>
      <c r="J101" s="23"/>
      <c r="K101" s="24" t="s">
        <v>13</v>
      </c>
      <c r="L101" s="25" t="b">
        <v>0</v>
      </c>
    </row>
    <row r="102" spans="3:12" x14ac:dyDescent="0.25">
      <c r="C102" s="23"/>
      <c r="D102" s="23"/>
      <c r="E102" s="23"/>
      <c r="F102" s="23"/>
      <c r="G102" s="23"/>
      <c r="H102" s="23"/>
      <c r="I102" s="23"/>
      <c r="J102" s="23"/>
      <c r="K102" s="24" t="s">
        <v>13</v>
      </c>
      <c r="L102" s="25" t="b">
        <v>0</v>
      </c>
    </row>
    <row r="103" spans="3:12" x14ac:dyDescent="0.25">
      <c r="C103" s="23"/>
      <c r="D103" s="23"/>
      <c r="E103" s="23"/>
      <c r="F103" s="23"/>
      <c r="G103" s="23"/>
      <c r="H103" s="23"/>
      <c r="I103" s="23"/>
      <c r="J103" s="23"/>
      <c r="K103" s="24" t="s">
        <v>13</v>
      </c>
      <c r="L103" s="25" t="b">
        <v>0</v>
      </c>
    </row>
    <row r="104" spans="3:12" x14ac:dyDescent="0.25">
      <c r="C104" s="23"/>
      <c r="D104" s="23"/>
      <c r="E104" s="23"/>
      <c r="F104" s="23"/>
      <c r="G104" s="23"/>
      <c r="H104" s="23"/>
      <c r="I104" s="23"/>
      <c r="J104" s="23"/>
      <c r="K104" s="24" t="s">
        <v>13</v>
      </c>
      <c r="L104" s="25" t="b">
        <v>0</v>
      </c>
    </row>
    <row r="105" spans="3:12" x14ac:dyDescent="0.25">
      <c r="C105" s="23"/>
      <c r="D105" s="23"/>
      <c r="E105" s="23"/>
      <c r="F105" s="23"/>
      <c r="G105" s="23"/>
      <c r="H105" s="23"/>
      <c r="I105" s="23"/>
      <c r="J105" s="23"/>
      <c r="K105" s="24" t="s">
        <v>13</v>
      </c>
      <c r="L105" s="25" t="b">
        <v>0</v>
      </c>
    </row>
    <row r="106" spans="3:12" x14ac:dyDescent="0.25">
      <c r="C106" s="23"/>
      <c r="D106" s="23"/>
      <c r="E106" s="23"/>
      <c r="F106" s="23"/>
      <c r="G106" s="23"/>
      <c r="H106" s="23"/>
      <c r="I106" s="23"/>
      <c r="J106" s="23"/>
      <c r="K106" s="24" t="s">
        <v>13</v>
      </c>
      <c r="L106" s="25" t="b">
        <v>0</v>
      </c>
    </row>
    <row r="107" spans="3:12" x14ac:dyDescent="0.25">
      <c r="C107" s="23"/>
      <c r="D107" s="23"/>
      <c r="E107" s="23"/>
      <c r="F107" s="23"/>
      <c r="G107" s="23"/>
      <c r="H107" s="23"/>
      <c r="I107" s="23"/>
      <c r="J107" s="23"/>
      <c r="K107" s="24" t="s">
        <v>13</v>
      </c>
      <c r="L107" s="25" t="b">
        <v>0</v>
      </c>
    </row>
    <row r="108" spans="3:12" x14ac:dyDescent="0.25">
      <c r="C108" s="23"/>
      <c r="D108" s="23"/>
      <c r="E108" s="23"/>
      <c r="F108" s="23"/>
      <c r="G108" s="23"/>
      <c r="H108" s="23"/>
      <c r="I108" s="23"/>
      <c r="J108" s="23"/>
      <c r="K108" s="24" t="s">
        <v>13</v>
      </c>
      <c r="L108" s="25" t="b">
        <v>0</v>
      </c>
    </row>
    <row r="109" spans="3:12" x14ac:dyDescent="0.25">
      <c r="C109" s="23"/>
      <c r="D109" s="23"/>
      <c r="E109" s="23"/>
      <c r="F109" s="23"/>
      <c r="G109" s="23"/>
      <c r="H109" s="23"/>
      <c r="I109" s="23"/>
      <c r="J109" s="23"/>
      <c r="K109" s="24" t="s">
        <v>13</v>
      </c>
      <c r="L109" s="25" t="b">
        <v>0</v>
      </c>
    </row>
    <row r="110" spans="3:12" x14ac:dyDescent="0.25">
      <c r="C110" s="23"/>
      <c r="D110" s="23"/>
      <c r="E110" s="23"/>
      <c r="F110" s="23"/>
      <c r="G110" s="23"/>
      <c r="H110" s="23"/>
      <c r="I110" s="23"/>
      <c r="J110" s="23"/>
      <c r="K110" s="24" t="s">
        <v>13</v>
      </c>
      <c r="L110" s="25" t="b">
        <v>0</v>
      </c>
    </row>
    <row r="111" spans="3:12" x14ac:dyDescent="0.25">
      <c r="C111" s="23"/>
      <c r="D111" s="23"/>
      <c r="E111" s="23"/>
      <c r="F111" s="23"/>
      <c r="G111" s="23"/>
      <c r="H111" s="23"/>
      <c r="I111" s="23"/>
      <c r="J111" s="23"/>
      <c r="K111" s="24" t="s">
        <v>13</v>
      </c>
      <c r="L111" s="25" t="b">
        <v>0</v>
      </c>
    </row>
    <row r="112" spans="3:12" x14ac:dyDescent="0.25">
      <c r="C112" s="23"/>
      <c r="D112" s="23"/>
      <c r="E112" s="23"/>
      <c r="F112" s="23"/>
      <c r="G112" s="23"/>
      <c r="H112" s="23"/>
      <c r="I112" s="23"/>
      <c r="J112" s="23"/>
      <c r="K112" s="24" t="s">
        <v>13</v>
      </c>
      <c r="L112" s="25" t="b">
        <v>0</v>
      </c>
    </row>
    <row r="113" spans="3:12" x14ac:dyDescent="0.25">
      <c r="C113" s="23"/>
      <c r="D113" s="23"/>
      <c r="E113" s="23"/>
      <c r="F113" s="23"/>
      <c r="G113" s="23"/>
      <c r="H113" s="23"/>
      <c r="I113" s="23"/>
      <c r="J113" s="23"/>
      <c r="K113" s="24" t="s">
        <v>13</v>
      </c>
      <c r="L113" s="25" t="b">
        <v>0</v>
      </c>
    </row>
    <row r="114" spans="3:12" x14ac:dyDescent="0.25">
      <c r="C114" s="23"/>
      <c r="D114" s="23"/>
      <c r="E114" s="23"/>
      <c r="F114" s="23"/>
      <c r="G114" s="23"/>
      <c r="H114" s="23"/>
      <c r="I114" s="23"/>
      <c r="J114" s="23"/>
      <c r="K114" s="24" t="s">
        <v>13</v>
      </c>
      <c r="L114" s="25" t="b">
        <v>0</v>
      </c>
    </row>
    <row r="115" spans="3:12" x14ac:dyDescent="0.25">
      <c r="C115" s="23"/>
      <c r="D115" s="23"/>
      <c r="E115" s="23"/>
      <c r="F115" s="23"/>
      <c r="G115" s="23"/>
      <c r="H115" s="23"/>
      <c r="I115" s="23"/>
      <c r="J115" s="23"/>
      <c r="K115" s="24" t="s">
        <v>13</v>
      </c>
      <c r="L115" s="25" t="b">
        <v>0</v>
      </c>
    </row>
    <row r="116" spans="3:12" x14ac:dyDescent="0.25">
      <c r="C116" s="23"/>
      <c r="D116" s="23"/>
      <c r="E116" s="23"/>
      <c r="F116" s="23"/>
      <c r="G116" s="23"/>
      <c r="H116" s="23"/>
      <c r="I116" s="23"/>
      <c r="J116" s="23"/>
      <c r="K116" s="24" t="s">
        <v>13</v>
      </c>
      <c r="L116" s="25" t="b">
        <v>0</v>
      </c>
    </row>
    <row r="117" spans="3:12" x14ac:dyDescent="0.25">
      <c r="C117" s="23"/>
      <c r="D117" s="23"/>
      <c r="E117" s="23"/>
      <c r="F117" s="23"/>
      <c r="G117" s="23"/>
      <c r="H117" s="23"/>
      <c r="I117" s="23"/>
      <c r="J117" s="23"/>
      <c r="K117" s="24" t="s">
        <v>13</v>
      </c>
      <c r="L117" s="25" t="b">
        <v>0</v>
      </c>
    </row>
    <row r="118" spans="3:12" x14ac:dyDescent="0.25">
      <c r="C118" s="23"/>
      <c r="D118" s="23"/>
      <c r="E118" s="23"/>
      <c r="F118" s="23"/>
      <c r="G118" s="23"/>
      <c r="H118" s="23"/>
      <c r="I118" s="23"/>
      <c r="J118" s="23"/>
      <c r="K118" s="24" t="s">
        <v>13</v>
      </c>
      <c r="L118" s="25" t="b">
        <v>0</v>
      </c>
    </row>
    <row r="119" spans="3:12" x14ac:dyDescent="0.25">
      <c r="C119" s="23"/>
      <c r="D119" s="23"/>
      <c r="E119" s="23"/>
      <c r="F119" s="23"/>
      <c r="G119" s="23"/>
      <c r="H119" s="23"/>
      <c r="I119" s="23"/>
      <c r="J119" s="23"/>
      <c r="K119" s="24" t="s">
        <v>13</v>
      </c>
      <c r="L119" s="25" t="b">
        <v>0</v>
      </c>
    </row>
    <row r="120" spans="3:12" x14ac:dyDescent="0.25">
      <c r="C120" s="23"/>
      <c r="D120" s="23"/>
      <c r="E120" s="23"/>
      <c r="F120" s="23"/>
      <c r="G120" s="23"/>
      <c r="H120" s="23"/>
      <c r="I120" s="23"/>
      <c r="J120" s="23"/>
      <c r="K120" s="24" t="s">
        <v>13</v>
      </c>
      <c r="L120" s="25" t="b">
        <v>0</v>
      </c>
    </row>
    <row r="121" spans="3:12" x14ac:dyDescent="0.25">
      <c r="C121" s="23"/>
      <c r="D121" s="23"/>
      <c r="E121" s="23"/>
      <c r="F121" s="23"/>
      <c r="G121" s="23"/>
      <c r="H121" s="23"/>
      <c r="I121" s="23"/>
      <c r="J121" s="23"/>
      <c r="K121" s="24" t="s">
        <v>13</v>
      </c>
      <c r="L121" s="25" t="b">
        <v>0</v>
      </c>
    </row>
    <row r="122" spans="3:12" x14ac:dyDescent="0.25">
      <c r="C122" s="23"/>
      <c r="D122" s="23"/>
      <c r="E122" s="23"/>
      <c r="F122" s="23"/>
      <c r="G122" s="23"/>
      <c r="H122" s="23"/>
      <c r="I122" s="23"/>
      <c r="J122" s="23"/>
      <c r="K122" s="24" t="s">
        <v>13</v>
      </c>
      <c r="L122" s="25" t="b">
        <v>0</v>
      </c>
    </row>
    <row r="123" spans="3:12" x14ac:dyDescent="0.25">
      <c r="C123" s="23"/>
      <c r="D123" s="23"/>
      <c r="E123" s="23"/>
      <c r="F123" s="23"/>
      <c r="G123" s="23"/>
      <c r="H123" s="23"/>
      <c r="I123" s="23"/>
      <c r="J123" s="23"/>
      <c r="K123" s="24" t="s">
        <v>13</v>
      </c>
      <c r="L123" s="25" t="b">
        <v>0</v>
      </c>
    </row>
    <row r="124" spans="3:12" x14ac:dyDescent="0.25">
      <c r="C124" s="23"/>
      <c r="D124" s="23"/>
      <c r="E124" s="23"/>
      <c r="F124" s="23"/>
      <c r="G124" s="23"/>
      <c r="H124" s="23"/>
      <c r="I124" s="23"/>
      <c r="J124" s="23"/>
      <c r="K124" s="24" t="s">
        <v>13</v>
      </c>
      <c r="L124" s="25" t="b">
        <v>0</v>
      </c>
    </row>
    <row r="125" spans="3:12" x14ac:dyDescent="0.25">
      <c r="C125" s="23"/>
      <c r="D125" s="23"/>
      <c r="E125" s="23"/>
      <c r="F125" s="23"/>
      <c r="G125" s="23"/>
      <c r="H125" s="23"/>
      <c r="I125" s="23"/>
      <c r="J125" s="23"/>
      <c r="K125" s="24" t="s">
        <v>13</v>
      </c>
      <c r="L125" s="25" t="b">
        <v>0</v>
      </c>
    </row>
    <row r="126" spans="3:12" x14ac:dyDescent="0.25">
      <c r="C126" s="23"/>
      <c r="D126" s="23"/>
      <c r="E126" s="23"/>
      <c r="F126" s="23"/>
      <c r="G126" s="23"/>
      <c r="H126" s="23"/>
      <c r="I126" s="23"/>
      <c r="J126" s="23"/>
      <c r="K126" s="24" t="s">
        <v>13</v>
      </c>
      <c r="L126" s="25" t="b">
        <v>0</v>
      </c>
    </row>
    <row r="127" spans="3:12" x14ac:dyDescent="0.25">
      <c r="C127" s="23"/>
      <c r="D127" s="23"/>
      <c r="E127" s="23"/>
      <c r="F127" s="23"/>
      <c r="G127" s="23"/>
      <c r="H127" s="23"/>
      <c r="I127" s="23"/>
      <c r="J127" s="23"/>
      <c r="K127" s="24" t="s">
        <v>13</v>
      </c>
      <c r="L127" s="25" t="b">
        <v>0</v>
      </c>
    </row>
    <row r="128" spans="3:12" x14ac:dyDescent="0.25">
      <c r="C128" s="23"/>
      <c r="D128" s="23"/>
      <c r="E128" s="23"/>
      <c r="F128" s="23"/>
      <c r="G128" s="23"/>
      <c r="H128" s="23"/>
      <c r="I128" s="23"/>
      <c r="J128" s="23"/>
      <c r="K128" s="24" t="s">
        <v>13</v>
      </c>
      <c r="L128" s="25" t="b">
        <v>0</v>
      </c>
    </row>
    <row r="129" spans="3:12" x14ac:dyDescent="0.25">
      <c r="C129" s="23"/>
      <c r="D129" s="23"/>
      <c r="E129" s="23"/>
      <c r="F129" s="23"/>
      <c r="G129" s="23"/>
      <c r="H129" s="23"/>
      <c r="I129" s="23"/>
      <c r="J129" s="23"/>
      <c r="K129" s="24" t="s">
        <v>13</v>
      </c>
      <c r="L129" s="25" t="b">
        <v>0</v>
      </c>
    </row>
    <row r="130" spans="3:12" x14ac:dyDescent="0.25">
      <c r="C130" s="23"/>
      <c r="D130" s="23"/>
      <c r="E130" s="23"/>
      <c r="F130" s="23"/>
      <c r="G130" s="23"/>
      <c r="H130" s="23"/>
      <c r="I130" s="23"/>
      <c r="J130" s="23"/>
      <c r="K130" s="24" t="s">
        <v>13</v>
      </c>
      <c r="L130" s="25" t="b">
        <v>0</v>
      </c>
    </row>
    <row r="131" spans="3:12" x14ac:dyDescent="0.25">
      <c r="C131" s="23"/>
      <c r="D131" s="23"/>
      <c r="E131" s="23"/>
      <c r="F131" s="23"/>
      <c r="G131" s="23"/>
      <c r="H131" s="23"/>
      <c r="I131" s="23"/>
      <c r="J131" s="23"/>
      <c r="K131" s="24" t="s">
        <v>13</v>
      </c>
      <c r="L131" s="25" t="b">
        <v>0</v>
      </c>
    </row>
    <row r="132" spans="3:12" x14ac:dyDescent="0.25">
      <c r="C132" s="23"/>
      <c r="D132" s="23"/>
      <c r="E132" s="23"/>
      <c r="F132" s="23"/>
      <c r="G132" s="23"/>
      <c r="H132" s="23"/>
      <c r="I132" s="23"/>
      <c r="J132" s="23"/>
      <c r="K132" s="24" t="s">
        <v>13</v>
      </c>
      <c r="L132" s="25" t="b">
        <v>0</v>
      </c>
    </row>
    <row r="133" spans="3:12" x14ac:dyDescent="0.25">
      <c r="C133" s="23"/>
      <c r="D133" s="23"/>
      <c r="E133" s="23"/>
      <c r="F133" s="23"/>
      <c r="G133" s="23"/>
      <c r="H133" s="23"/>
      <c r="I133" s="23"/>
      <c r="J133" s="23"/>
      <c r="K133" s="24" t="s">
        <v>13</v>
      </c>
      <c r="L133" s="25" t="b">
        <v>0</v>
      </c>
    </row>
    <row r="134" spans="3:12" x14ac:dyDescent="0.25">
      <c r="C134" s="23"/>
      <c r="D134" s="23"/>
      <c r="E134" s="23"/>
      <c r="F134" s="23"/>
      <c r="G134" s="23"/>
      <c r="H134" s="23"/>
      <c r="I134" s="23"/>
      <c r="J134" s="23"/>
      <c r="K134" s="24" t="s">
        <v>13</v>
      </c>
      <c r="L134" s="25" t="b">
        <v>0</v>
      </c>
    </row>
    <row r="135" spans="3:12" x14ac:dyDescent="0.25">
      <c r="C135" s="23"/>
      <c r="D135" s="23"/>
      <c r="E135" s="23"/>
      <c r="F135" s="23"/>
      <c r="G135" s="23"/>
      <c r="H135" s="23"/>
      <c r="I135" s="23"/>
      <c r="J135" s="23"/>
      <c r="K135" s="24" t="s">
        <v>13</v>
      </c>
      <c r="L135" s="25" t="b">
        <v>0</v>
      </c>
    </row>
    <row r="136" spans="3:12" x14ac:dyDescent="0.25">
      <c r="C136" s="23"/>
      <c r="D136" s="23"/>
      <c r="E136" s="23"/>
      <c r="F136" s="23"/>
      <c r="G136" s="23"/>
      <c r="H136" s="23"/>
      <c r="I136" s="23"/>
      <c r="J136" s="23"/>
      <c r="K136" s="24" t="s">
        <v>13</v>
      </c>
      <c r="L136" s="25" t="b">
        <v>0</v>
      </c>
    </row>
    <row r="137" spans="3:12" x14ac:dyDescent="0.25">
      <c r="C137" s="23"/>
      <c r="D137" s="23"/>
      <c r="E137" s="23"/>
      <c r="F137" s="23"/>
      <c r="G137" s="23"/>
      <c r="H137" s="23"/>
      <c r="I137" s="23"/>
      <c r="J137" s="23"/>
      <c r="K137" s="24" t="s">
        <v>13</v>
      </c>
      <c r="L137" s="25" t="b">
        <v>0</v>
      </c>
    </row>
    <row r="138" spans="3:12" x14ac:dyDescent="0.25">
      <c r="C138" s="23"/>
      <c r="D138" s="23"/>
      <c r="E138" s="23"/>
      <c r="F138" s="23"/>
      <c r="G138" s="23"/>
      <c r="H138" s="23"/>
      <c r="I138" s="23"/>
      <c r="J138" s="23"/>
      <c r="K138" s="24" t="s">
        <v>13</v>
      </c>
      <c r="L138" s="25" t="b">
        <v>0</v>
      </c>
    </row>
    <row r="139" spans="3:12" x14ac:dyDescent="0.25">
      <c r="C139" s="23"/>
      <c r="D139" s="23"/>
      <c r="E139" s="23"/>
      <c r="F139" s="23"/>
      <c r="G139" s="23"/>
      <c r="H139" s="23"/>
      <c r="I139" s="23"/>
      <c r="J139" s="23"/>
      <c r="K139" s="24" t="s">
        <v>13</v>
      </c>
      <c r="L139" s="25" t="b">
        <v>0</v>
      </c>
    </row>
    <row r="140" spans="3:12" x14ac:dyDescent="0.25">
      <c r="C140" s="23"/>
      <c r="D140" s="23"/>
      <c r="E140" s="23"/>
      <c r="F140" s="23"/>
      <c r="G140" s="23"/>
      <c r="H140" s="23"/>
      <c r="I140" s="23"/>
      <c r="J140" s="23"/>
      <c r="K140" s="24" t="s">
        <v>13</v>
      </c>
      <c r="L140" s="25" t="b">
        <v>0</v>
      </c>
    </row>
    <row r="141" spans="3:12" x14ac:dyDescent="0.25">
      <c r="C141" s="23"/>
      <c r="D141" s="23"/>
      <c r="E141" s="23"/>
      <c r="F141" s="23"/>
      <c r="G141" s="23"/>
      <c r="H141" s="23"/>
      <c r="I141" s="23"/>
      <c r="J141" s="23"/>
      <c r="K141" s="24" t="s">
        <v>13</v>
      </c>
      <c r="L141" s="25" t="b">
        <v>0</v>
      </c>
    </row>
    <row r="142" spans="3:12" x14ac:dyDescent="0.25">
      <c r="C142" s="23"/>
      <c r="D142" s="23"/>
      <c r="E142" s="23"/>
      <c r="F142" s="23"/>
      <c r="G142" s="23"/>
      <c r="H142" s="23"/>
      <c r="I142" s="23"/>
      <c r="J142" s="23"/>
      <c r="K142" s="24" t="s">
        <v>13</v>
      </c>
      <c r="L142" s="25" t="b">
        <v>0</v>
      </c>
    </row>
    <row r="143" spans="3:12" x14ac:dyDescent="0.25">
      <c r="C143" s="23"/>
      <c r="D143" s="23"/>
      <c r="E143" s="23"/>
      <c r="F143" s="23"/>
      <c r="G143" s="23"/>
      <c r="H143" s="23"/>
      <c r="I143" s="23"/>
      <c r="J143" s="23"/>
      <c r="K143" s="24" t="s">
        <v>13</v>
      </c>
      <c r="L143" s="25" t="b">
        <v>0</v>
      </c>
    </row>
    <row r="144" spans="3:12" x14ac:dyDescent="0.25">
      <c r="C144" s="23"/>
      <c r="D144" s="23"/>
      <c r="E144" s="23"/>
      <c r="F144" s="23"/>
      <c r="G144" s="23"/>
      <c r="H144" s="23"/>
      <c r="I144" s="23"/>
      <c r="J144" s="23"/>
      <c r="K144" s="24" t="s">
        <v>13</v>
      </c>
      <c r="L144" s="25" t="b">
        <v>0</v>
      </c>
    </row>
    <row r="145" spans="3:12" x14ac:dyDescent="0.25">
      <c r="C145" s="23"/>
      <c r="D145" s="23"/>
      <c r="E145" s="23"/>
      <c r="F145" s="23"/>
      <c r="G145" s="23"/>
      <c r="H145" s="23"/>
      <c r="I145" s="23"/>
      <c r="J145" s="23"/>
      <c r="K145" s="24" t="s">
        <v>13</v>
      </c>
      <c r="L145" s="25" t="b">
        <v>0</v>
      </c>
    </row>
    <row r="146" spans="3:12" x14ac:dyDescent="0.25">
      <c r="C146" s="23"/>
      <c r="D146" s="23"/>
      <c r="E146" s="23"/>
      <c r="F146" s="23"/>
      <c r="G146" s="23"/>
      <c r="H146" s="23"/>
      <c r="I146" s="23"/>
      <c r="J146" s="23"/>
      <c r="K146" s="24" t="s">
        <v>13</v>
      </c>
      <c r="L146" s="25" t="b">
        <v>0</v>
      </c>
    </row>
    <row r="147" spans="3:12" x14ac:dyDescent="0.25">
      <c r="C147" s="23"/>
      <c r="D147" s="23"/>
      <c r="E147" s="23"/>
      <c r="F147" s="23"/>
      <c r="G147" s="23"/>
      <c r="H147" s="23"/>
      <c r="I147" s="23"/>
      <c r="J147" s="23"/>
      <c r="K147" s="24" t="s">
        <v>13</v>
      </c>
      <c r="L147" s="25" t="b">
        <v>0</v>
      </c>
    </row>
    <row r="148" spans="3:12" x14ac:dyDescent="0.25">
      <c r="C148" s="23"/>
      <c r="D148" s="23"/>
      <c r="E148" s="23"/>
      <c r="F148" s="23"/>
      <c r="G148" s="23"/>
      <c r="H148" s="23"/>
      <c r="I148" s="23"/>
      <c r="J148" s="23"/>
      <c r="K148" s="24" t="s">
        <v>13</v>
      </c>
      <c r="L148" s="25" t="b">
        <v>0</v>
      </c>
    </row>
    <row r="149" spans="3:12" x14ac:dyDescent="0.25">
      <c r="C149" s="23"/>
      <c r="D149" s="23"/>
      <c r="E149" s="23"/>
      <c r="F149" s="23"/>
      <c r="G149" s="23"/>
      <c r="H149" s="23"/>
      <c r="I149" s="23"/>
      <c r="J149" s="23"/>
      <c r="K149" s="24" t="s">
        <v>13</v>
      </c>
      <c r="L149" s="25" t="b">
        <v>0</v>
      </c>
    </row>
    <row r="150" spans="3:12" x14ac:dyDescent="0.25">
      <c r="C150" s="23"/>
      <c r="D150" s="23"/>
      <c r="E150" s="23"/>
      <c r="F150" s="23"/>
      <c r="G150" s="23"/>
      <c r="H150" s="23"/>
      <c r="I150" s="23"/>
      <c r="J150" s="23"/>
      <c r="K150" s="24" t="s">
        <v>13</v>
      </c>
      <c r="L150" s="25" t="b">
        <v>0</v>
      </c>
    </row>
    <row r="151" spans="3:12" x14ac:dyDescent="0.25">
      <c r="C151" s="23"/>
      <c r="D151" s="23"/>
      <c r="E151" s="23"/>
      <c r="F151" s="23"/>
      <c r="G151" s="23"/>
      <c r="H151" s="23"/>
      <c r="I151" s="23"/>
      <c r="J151" s="23"/>
      <c r="K151" s="24" t="s">
        <v>13</v>
      </c>
      <c r="L151" s="25" t="b">
        <v>0</v>
      </c>
    </row>
    <row r="152" spans="3:12" x14ac:dyDescent="0.25">
      <c r="C152" s="23"/>
      <c r="D152" s="23"/>
      <c r="E152" s="23"/>
      <c r="F152" s="23"/>
      <c r="G152" s="23"/>
      <c r="H152" s="23"/>
      <c r="I152" s="23"/>
      <c r="J152" s="23"/>
      <c r="K152" s="24" t="s">
        <v>13</v>
      </c>
      <c r="L152" s="25" t="b">
        <v>0</v>
      </c>
    </row>
    <row r="153" spans="3:12" x14ac:dyDescent="0.25">
      <c r="C153" s="23"/>
      <c r="D153" s="23"/>
      <c r="E153" s="23"/>
      <c r="F153" s="23"/>
      <c r="G153" s="23"/>
      <c r="H153" s="23"/>
      <c r="I153" s="23"/>
      <c r="J153" s="23"/>
      <c r="K153" s="24" t="s">
        <v>13</v>
      </c>
      <c r="L153" s="25" t="b">
        <v>0</v>
      </c>
    </row>
    <row r="154" spans="3:12" x14ac:dyDescent="0.25">
      <c r="C154" s="23"/>
      <c r="D154" s="23"/>
      <c r="E154" s="23"/>
      <c r="F154" s="23"/>
      <c r="G154" s="23"/>
      <c r="H154" s="23"/>
      <c r="I154" s="23"/>
      <c r="J154" s="23"/>
      <c r="K154" s="24" t="s">
        <v>13</v>
      </c>
      <c r="L154" s="25" t="b">
        <v>0</v>
      </c>
    </row>
    <row r="155" spans="3:12" x14ac:dyDescent="0.25">
      <c r="C155" s="23"/>
      <c r="D155" s="23"/>
      <c r="E155" s="23"/>
      <c r="F155" s="23"/>
      <c r="G155" s="23"/>
      <c r="H155" s="23"/>
      <c r="I155" s="23"/>
      <c r="J155" s="23"/>
      <c r="K155" s="24" t="s">
        <v>13</v>
      </c>
      <c r="L155" s="25" t="b">
        <v>0</v>
      </c>
    </row>
    <row r="156" spans="3:12" x14ac:dyDescent="0.25">
      <c r="C156" s="23"/>
      <c r="D156" s="23"/>
      <c r="E156" s="23"/>
      <c r="F156" s="23"/>
      <c r="G156" s="23"/>
      <c r="H156" s="23"/>
      <c r="I156" s="23"/>
      <c r="J156" s="23"/>
      <c r="K156" s="24" t="s">
        <v>13</v>
      </c>
      <c r="L156" s="25" t="b">
        <v>0</v>
      </c>
    </row>
    <row r="157" spans="3:12" x14ac:dyDescent="0.25">
      <c r="C157" s="23"/>
      <c r="D157" s="23"/>
      <c r="E157" s="23"/>
      <c r="F157" s="23"/>
      <c r="G157" s="23"/>
      <c r="H157" s="23"/>
      <c r="I157" s="23"/>
      <c r="J157" s="23"/>
      <c r="K157" s="24" t="s">
        <v>13</v>
      </c>
      <c r="L157" s="25" t="b">
        <v>0</v>
      </c>
    </row>
    <row r="158" spans="3:12" x14ac:dyDescent="0.25">
      <c r="C158" s="23"/>
      <c r="D158" s="23"/>
      <c r="E158" s="23"/>
      <c r="F158" s="23"/>
      <c r="G158" s="23"/>
      <c r="H158" s="23"/>
      <c r="I158" s="23"/>
      <c r="J158" s="23"/>
      <c r="K158" s="24" t="s">
        <v>13</v>
      </c>
      <c r="L158" s="25" t="b">
        <v>0</v>
      </c>
    </row>
    <row r="159" spans="3:12" x14ac:dyDescent="0.25">
      <c r="C159" s="23"/>
      <c r="D159" s="23"/>
      <c r="E159" s="23"/>
      <c r="F159" s="23"/>
      <c r="G159" s="23"/>
      <c r="H159" s="23"/>
      <c r="I159" s="23"/>
      <c r="J159" s="23"/>
      <c r="K159" s="24" t="s">
        <v>13</v>
      </c>
      <c r="L159" s="25" t="b">
        <v>0</v>
      </c>
    </row>
    <row r="160" spans="3:12" x14ac:dyDescent="0.25">
      <c r="C160" s="23"/>
      <c r="D160" s="23"/>
      <c r="E160" s="23"/>
      <c r="F160" s="23"/>
      <c r="G160" s="23"/>
      <c r="H160" s="23"/>
      <c r="I160" s="23"/>
      <c r="J160" s="23"/>
      <c r="K160" s="24" t="s">
        <v>13</v>
      </c>
      <c r="L160" s="25" t="b">
        <v>0</v>
      </c>
    </row>
    <row r="161" spans="3:12" x14ac:dyDescent="0.25">
      <c r="C161" s="23"/>
      <c r="D161" s="23"/>
      <c r="E161" s="23"/>
      <c r="F161" s="23"/>
      <c r="G161" s="23"/>
      <c r="H161" s="23"/>
      <c r="I161" s="23"/>
      <c r="J161" s="23"/>
      <c r="K161" s="24" t="s">
        <v>13</v>
      </c>
      <c r="L161" s="25" t="b">
        <v>0</v>
      </c>
    </row>
    <row r="162" spans="3:12" x14ac:dyDescent="0.25">
      <c r="C162" s="23"/>
      <c r="D162" s="23"/>
      <c r="E162" s="23"/>
      <c r="F162" s="23"/>
      <c r="G162" s="23"/>
      <c r="H162" s="23"/>
      <c r="I162" s="23"/>
      <c r="J162" s="23"/>
      <c r="K162" s="24" t="s">
        <v>13</v>
      </c>
      <c r="L162" s="25" t="b">
        <v>0</v>
      </c>
    </row>
    <row r="163" spans="3:12" x14ac:dyDescent="0.25">
      <c r="C163" s="23"/>
      <c r="D163" s="23"/>
      <c r="E163" s="23"/>
      <c r="F163" s="23"/>
      <c r="G163" s="23"/>
      <c r="H163" s="23"/>
      <c r="I163" s="23"/>
      <c r="J163" s="23"/>
      <c r="K163" s="24" t="s">
        <v>13</v>
      </c>
      <c r="L163" s="25" t="b">
        <v>0</v>
      </c>
    </row>
    <row r="164" spans="3:12" x14ac:dyDescent="0.25">
      <c r="C164" s="23"/>
      <c r="D164" s="23"/>
      <c r="E164" s="23"/>
      <c r="F164" s="23"/>
      <c r="G164" s="23"/>
      <c r="H164" s="23"/>
      <c r="I164" s="23"/>
      <c r="J164" s="23"/>
      <c r="K164" s="24" t="s">
        <v>13</v>
      </c>
      <c r="L164" s="25" t="b">
        <v>0</v>
      </c>
    </row>
    <row r="165" spans="3:12" x14ac:dyDescent="0.25">
      <c r="C165" s="23"/>
      <c r="D165" s="23"/>
      <c r="E165" s="23"/>
      <c r="F165" s="23"/>
      <c r="G165" s="23"/>
      <c r="H165" s="23"/>
      <c r="I165" s="23"/>
      <c r="J165" s="23"/>
      <c r="K165" s="24" t="s">
        <v>13</v>
      </c>
      <c r="L165" s="25" t="b">
        <v>0</v>
      </c>
    </row>
    <row r="166" spans="3:12" x14ac:dyDescent="0.25">
      <c r="C166" s="23"/>
      <c r="D166" s="23"/>
      <c r="E166" s="23"/>
      <c r="F166" s="23"/>
      <c r="G166" s="23"/>
      <c r="H166" s="23"/>
      <c r="I166" s="23"/>
      <c r="J166" s="23"/>
      <c r="K166" s="24" t="s">
        <v>13</v>
      </c>
      <c r="L166" s="25" t="b">
        <v>0</v>
      </c>
    </row>
    <row r="167" spans="3:12" x14ac:dyDescent="0.25">
      <c r="C167" s="23"/>
      <c r="D167" s="23"/>
      <c r="E167" s="23"/>
      <c r="F167" s="23"/>
      <c r="G167" s="23"/>
      <c r="H167" s="23"/>
      <c r="I167" s="23"/>
      <c r="J167" s="23"/>
      <c r="K167" s="24" t="s">
        <v>13</v>
      </c>
      <c r="L167" s="25" t="b">
        <v>0</v>
      </c>
    </row>
    <row r="168" spans="3:12" x14ac:dyDescent="0.25">
      <c r="C168" s="23"/>
      <c r="D168" s="23"/>
      <c r="E168" s="23"/>
      <c r="F168" s="23"/>
      <c r="G168" s="23"/>
      <c r="H168" s="23"/>
      <c r="I168" s="23"/>
      <c r="J168" s="23"/>
      <c r="K168" s="24" t="s">
        <v>13</v>
      </c>
      <c r="L168" s="25" t="b">
        <v>0</v>
      </c>
    </row>
    <row r="169" spans="3:12" x14ac:dyDescent="0.25">
      <c r="C169" s="23"/>
      <c r="D169" s="23"/>
      <c r="E169" s="23"/>
      <c r="F169" s="23"/>
      <c r="G169" s="23"/>
      <c r="H169" s="23"/>
      <c r="I169" s="23"/>
      <c r="J169" s="23"/>
      <c r="K169" s="24" t="s">
        <v>13</v>
      </c>
      <c r="L169" s="25" t="b">
        <v>0</v>
      </c>
    </row>
    <row r="170" spans="3:12" x14ac:dyDescent="0.25">
      <c r="C170" s="23"/>
      <c r="D170" s="23"/>
      <c r="E170" s="23"/>
      <c r="F170" s="23"/>
      <c r="G170" s="23"/>
      <c r="H170" s="23"/>
      <c r="I170" s="23"/>
      <c r="J170" s="23"/>
      <c r="K170" s="24" t="s">
        <v>13</v>
      </c>
      <c r="L170" s="25" t="b">
        <v>0</v>
      </c>
    </row>
    <row r="171" spans="3:12" x14ac:dyDescent="0.25">
      <c r="C171" s="23"/>
      <c r="D171" s="23"/>
      <c r="E171" s="23"/>
      <c r="F171" s="23"/>
      <c r="G171" s="23"/>
      <c r="H171" s="23"/>
      <c r="I171" s="23"/>
      <c r="J171" s="23"/>
      <c r="K171" s="24" t="s">
        <v>13</v>
      </c>
      <c r="L171" s="25" t="b">
        <v>0</v>
      </c>
    </row>
    <row r="172" spans="3:12" x14ac:dyDescent="0.25">
      <c r="C172" s="23"/>
      <c r="D172" s="23"/>
      <c r="E172" s="23"/>
      <c r="F172" s="23"/>
      <c r="G172" s="23"/>
      <c r="H172" s="23"/>
      <c r="I172" s="23"/>
      <c r="J172" s="23"/>
      <c r="K172" s="24" t="s">
        <v>13</v>
      </c>
      <c r="L172" s="25" t="b">
        <v>0</v>
      </c>
    </row>
    <row r="173" spans="3:12" x14ac:dyDescent="0.25">
      <c r="C173" s="23"/>
      <c r="D173" s="23"/>
      <c r="E173" s="23"/>
      <c r="F173" s="23"/>
      <c r="G173" s="23"/>
      <c r="H173" s="23"/>
      <c r="I173" s="23"/>
      <c r="J173" s="23"/>
      <c r="K173" s="24" t="s">
        <v>13</v>
      </c>
      <c r="L173" s="25" t="b">
        <v>0</v>
      </c>
    </row>
    <row r="174" spans="3:12" x14ac:dyDescent="0.25">
      <c r="C174" s="23"/>
      <c r="D174" s="23"/>
      <c r="E174" s="23"/>
      <c r="F174" s="23"/>
      <c r="G174" s="23"/>
      <c r="H174" s="23"/>
      <c r="I174" s="23"/>
      <c r="J174" s="23"/>
      <c r="K174" s="24" t="s">
        <v>13</v>
      </c>
      <c r="L174" s="25" t="b">
        <v>0</v>
      </c>
    </row>
    <row r="175" spans="3:12" x14ac:dyDescent="0.25">
      <c r="C175" s="23"/>
      <c r="D175" s="23"/>
      <c r="E175" s="23"/>
      <c r="F175" s="23"/>
      <c r="G175" s="23"/>
      <c r="H175" s="23"/>
      <c r="I175" s="23"/>
      <c r="J175" s="23"/>
      <c r="K175" s="24" t="s">
        <v>13</v>
      </c>
      <c r="L175" s="25" t="b">
        <v>0</v>
      </c>
    </row>
    <row r="176" spans="3:12" x14ac:dyDescent="0.25">
      <c r="C176" s="23"/>
      <c r="D176" s="23"/>
      <c r="E176" s="23"/>
      <c r="F176" s="23"/>
      <c r="G176" s="23"/>
      <c r="H176" s="23"/>
      <c r="I176" s="23"/>
      <c r="J176" s="23"/>
      <c r="K176" s="24" t="s">
        <v>13</v>
      </c>
      <c r="L176" s="25" t="b">
        <v>0</v>
      </c>
    </row>
    <row r="177" spans="3:12" x14ac:dyDescent="0.25">
      <c r="C177" s="23"/>
      <c r="D177" s="23"/>
      <c r="E177" s="23"/>
      <c r="F177" s="23"/>
      <c r="G177" s="23"/>
      <c r="H177" s="23"/>
      <c r="I177" s="23"/>
      <c r="J177" s="23"/>
      <c r="K177" s="24" t="s">
        <v>13</v>
      </c>
      <c r="L177" s="25" t="b">
        <v>0</v>
      </c>
    </row>
    <row r="178" spans="3:12" x14ac:dyDescent="0.25">
      <c r="C178" s="23"/>
      <c r="D178" s="23"/>
      <c r="E178" s="23"/>
      <c r="F178" s="23"/>
      <c r="G178" s="23"/>
      <c r="H178" s="23"/>
      <c r="I178" s="23"/>
      <c r="J178" s="23"/>
      <c r="K178" s="24" t="s">
        <v>13</v>
      </c>
      <c r="L178" s="25" t="b">
        <v>0</v>
      </c>
    </row>
    <row r="179" spans="3:12" x14ac:dyDescent="0.25">
      <c r="C179" s="23"/>
      <c r="D179" s="23"/>
      <c r="E179" s="23"/>
      <c r="F179" s="23"/>
      <c r="G179" s="23"/>
      <c r="H179" s="23"/>
      <c r="I179" s="23"/>
      <c r="J179" s="23"/>
      <c r="K179" s="24" t="s">
        <v>13</v>
      </c>
      <c r="L179" s="25" t="b">
        <v>0</v>
      </c>
    </row>
    <row r="180" spans="3:12" x14ac:dyDescent="0.25">
      <c r="C180" s="23"/>
      <c r="D180" s="23"/>
      <c r="E180" s="23"/>
      <c r="F180" s="23"/>
      <c r="G180" s="23"/>
      <c r="H180" s="23"/>
      <c r="I180" s="23"/>
      <c r="J180" s="23"/>
      <c r="K180" s="24" t="s">
        <v>13</v>
      </c>
      <c r="L180" s="25" t="b">
        <v>0</v>
      </c>
    </row>
    <row r="181" spans="3:12" x14ac:dyDescent="0.25">
      <c r="C181" s="23"/>
      <c r="D181" s="23"/>
      <c r="E181" s="23"/>
      <c r="F181" s="23"/>
      <c r="G181" s="23"/>
      <c r="H181" s="23"/>
      <c r="I181" s="23"/>
      <c r="J181" s="23"/>
      <c r="K181" s="24" t="s">
        <v>13</v>
      </c>
      <c r="L181" s="25" t="b">
        <v>0</v>
      </c>
    </row>
    <row r="182" spans="3:12" x14ac:dyDescent="0.25">
      <c r="C182" s="23"/>
      <c r="D182" s="23"/>
      <c r="E182" s="23"/>
      <c r="F182" s="23"/>
      <c r="G182" s="23"/>
      <c r="H182" s="23"/>
      <c r="I182" s="23"/>
      <c r="J182" s="23"/>
      <c r="K182" s="24" t="s">
        <v>13</v>
      </c>
      <c r="L182" s="25" t="b">
        <v>0</v>
      </c>
    </row>
    <row r="183" spans="3:12" x14ac:dyDescent="0.25">
      <c r="C183" s="23"/>
      <c r="D183" s="23"/>
      <c r="E183" s="23"/>
      <c r="F183" s="23"/>
      <c r="G183" s="23"/>
      <c r="H183" s="23"/>
      <c r="I183" s="23"/>
      <c r="J183" s="23"/>
      <c r="K183" s="24" t="s">
        <v>13</v>
      </c>
      <c r="L183" s="25" t="b">
        <v>0</v>
      </c>
    </row>
    <row r="184" spans="3:12" x14ac:dyDescent="0.25">
      <c r="C184" s="23"/>
      <c r="D184" s="23"/>
      <c r="E184" s="23"/>
      <c r="F184" s="23"/>
      <c r="G184" s="23"/>
      <c r="H184" s="23"/>
      <c r="I184" s="23"/>
      <c r="J184" s="23"/>
      <c r="K184" s="24" t="s">
        <v>13</v>
      </c>
      <c r="L184" s="25" t="b">
        <v>0</v>
      </c>
    </row>
    <row r="185" spans="3:12" x14ac:dyDescent="0.25">
      <c r="C185" s="23"/>
      <c r="D185" s="23"/>
      <c r="E185" s="23"/>
      <c r="F185" s="23"/>
      <c r="G185" s="23"/>
      <c r="H185" s="23"/>
      <c r="I185" s="23"/>
      <c r="J185" s="23"/>
      <c r="K185" s="24" t="s">
        <v>13</v>
      </c>
      <c r="L185" s="25" t="b">
        <v>0</v>
      </c>
    </row>
    <row r="186" spans="3:12" x14ac:dyDescent="0.25">
      <c r="C186" s="23"/>
      <c r="D186" s="23"/>
      <c r="E186" s="23"/>
      <c r="F186" s="23"/>
      <c r="G186" s="23"/>
      <c r="H186" s="23"/>
      <c r="I186" s="23"/>
      <c r="J186" s="23"/>
      <c r="K186" s="24" t="s">
        <v>13</v>
      </c>
      <c r="L186" s="25" t="b">
        <v>0</v>
      </c>
    </row>
    <row r="187" spans="3:12" x14ac:dyDescent="0.25">
      <c r="C187" s="23"/>
      <c r="D187" s="23"/>
      <c r="E187" s="23"/>
      <c r="F187" s="23"/>
      <c r="G187" s="23"/>
      <c r="H187" s="23"/>
      <c r="I187" s="23"/>
      <c r="J187" s="23"/>
      <c r="K187" s="24" t="s">
        <v>13</v>
      </c>
      <c r="L187" s="25" t="b">
        <v>0</v>
      </c>
    </row>
    <row r="188" spans="3:12" x14ac:dyDescent="0.25">
      <c r="C188" s="23"/>
      <c r="D188" s="23"/>
      <c r="E188" s="23"/>
      <c r="F188" s="23"/>
      <c r="G188" s="23"/>
      <c r="H188" s="23"/>
      <c r="I188" s="23"/>
      <c r="J188" s="23"/>
      <c r="K188" s="24" t="s">
        <v>13</v>
      </c>
      <c r="L188" s="25" t="b">
        <v>0</v>
      </c>
    </row>
    <row r="189" spans="3:12" x14ac:dyDescent="0.25">
      <c r="C189" s="23"/>
      <c r="D189" s="23"/>
      <c r="E189" s="23"/>
      <c r="F189" s="23"/>
      <c r="G189" s="23"/>
      <c r="H189" s="23"/>
      <c r="I189" s="23"/>
      <c r="J189" s="23"/>
      <c r="K189" s="24" t="s">
        <v>13</v>
      </c>
      <c r="L189" s="25" t="b">
        <v>0</v>
      </c>
    </row>
    <row r="190" spans="3:12" x14ac:dyDescent="0.25">
      <c r="C190" s="23"/>
      <c r="D190" s="23"/>
      <c r="E190" s="23"/>
      <c r="F190" s="23"/>
      <c r="G190" s="23"/>
      <c r="H190" s="23"/>
      <c r="I190" s="23"/>
      <c r="J190" s="23"/>
      <c r="K190" s="24" t="s">
        <v>13</v>
      </c>
      <c r="L190" s="25" t="b">
        <v>0</v>
      </c>
    </row>
    <row r="191" spans="3:12" x14ac:dyDescent="0.25">
      <c r="C191" s="23"/>
      <c r="D191" s="23"/>
      <c r="E191" s="23"/>
      <c r="F191" s="23"/>
      <c r="G191" s="23"/>
      <c r="H191" s="23"/>
      <c r="I191" s="23"/>
      <c r="J191" s="23"/>
      <c r="K191" s="24" t="s">
        <v>13</v>
      </c>
      <c r="L191" s="25" t="b">
        <v>0</v>
      </c>
    </row>
    <row r="192" spans="3:12" x14ac:dyDescent="0.25">
      <c r="C192" s="23"/>
      <c r="D192" s="23"/>
      <c r="E192" s="23"/>
      <c r="F192" s="23"/>
      <c r="G192" s="23"/>
      <c r="H192" s="23"/>
      <c r="I192" s="23"/>
      <c r="J192" s="23"/>
      <c r="K192" s="24" t="s">
        <v>13</v>
      </c>
      <c r="L192" s="25" t="b">
        <v>0</v>
      </c>
    </row>
    <row r="193" spans="3:12" x14ac:dyDescent="0.25">
      <c r="C193" s="23"/>
      <c r="D193" s="23"/>
      <c r="E193" s="23"/>
      <c r="F193" s="23"/>
      <c r="G193" s="23"/>
      <c r="H193" s="23"/>
      <c r="I193" s="23"/>
      <c r="J193" s="23"/>
      <c r="K193" s="24" t="s">
        <v>13</v>
      </c>
      <c r="L193" s="25" t="b">
        <v>0</v>
      </c>
    </row>
    <row r="194" spans="3:12" x14ac:dyDescent="0.25">
      <c r="C194" s="23"/>
      <c r="D194" s="23"/>
      <c r="E194" s="23"/>
      <c r="F194" s="23"/>
      <c r="G194" s="23"/>
      <c r="H194" s="23"/>
      <c r="I194" s="23"/>
      <c r="J194" s="23"/>
      <c r="K194" s="24" t="s">
        <v>13</v>
      </c>
      <c r="L194" s="25" t="b">
        <v>0</v>
      </c>
    </row>
    <row r="195" spans="3:12" x14ac:dyDescent="0.25">
      <c r="C195" s="23"/>
      <c r="D195" s="23"/>
      <c r="E195" s="23"/>
      <c r="F195" s="23"/>
      <c r="G195" s="23"/>
      <c r="H195" s="23"/>
      <c r="I195" s="23"/>
      <c r="J195" s="23"/>
      <c r="K195" s="24" t="s">
        <v>13</v>
      </c>
      <c r="L195" s="25" t="b">
        <v>0</v>
      </c>
    </row>
    <row r="196" spans="3:12" x14ac:dyDescent="0.25">
      <c r="C196" s="23"/>
      <c r="D196" s="23"/>
      <c r="E196" s="23"/>
      <c r="F196" s="23"/>
      <c r="G196" s="23"/>
      <c r="H196" s="23"/>
      <c r="I196" s="23"/>
      <c r="J196" s="23"/>
      <c r="K196" s="24" t="s">
        <v>13</v>
      </c>
      <c r="L196" s="25" t="b">
        <v>0</v>
      </c>
    </row>
    <row r="197" spans="3:12" x14ac:dyDescent="0.25">
      <c r="C197" s="23"/>
      <c r="D197" s="23"/>
      <c r="E197" s="23"/>
      <c r="F197" s="23"/>
      <c r="G197" s="23"/>
      <c r="H197" s="23"/>
      <c r="I197" s="23"/>
      <c r="J197" s="23"/>
      <c r="K197" s="24" t="s">
        <v>13</v>
      </c>
      <c r="L197" s="25" t="b">
        <v>0</v>
      </c>
    </row>
    <row r="198" spans="3:12" x14ac:dyDescent="0.25">
      <c r="C198" s="23"/>
      <c r="D198" s="23"/>
      <c r="E198" s="23"/>
      <c r="F198" s="23"/>
      <c r="G198" s="23"/>
      <c r="H198" s="23"/>
      <c r="I198" s="23"/>
      <c r="J198" s="23"/>
      <c r="K198" s="24" t="s">
        <v>13</v>
      </c>
      <c r="L198" s="25" t="b">
        <v>0</v>
      </c>
    </row>
    <row r="199" spans="3:12" x14ac:dyDescent="0.25">
      <c r="C199" s="23"/>
      <c r="D199" s="23"/>
      <c r="E199" s="23"/>
      <c r="F199" s="23"/>
      <c r="G199" s="23"/>
      <c r="H199" s="23"/>
      <c r="I199" s="23"/>
      <c r="J199" s="23"/>
      <c r="K199" s="24" t="s">
        <v>13</v>
      </c>
      <c r="L199" s="25" t="b">
        <v>0</v>
      </c>
    </row>
    <row r="200" spans="3:12" x14ac:dyDescent="0.25">
      <c r="C200" s="23"/>
      <c r="D200" s="23"/>
      <c r="E200" s="23"/>
      <c r="F200" s="23"/>
      <c r="G200" s="23"/>
      <c r="H200" s="23"/>
      <c r="I200" s="23"/>
      <c r="J200" s="23"/>
      <c r="K200" s="24" t="s">
        <v>13</v>
      </c>
      <c r="L200" s="25" t="b">
        <v>0</v>
      </c>
    </row>
  </sheetData>
  <sheetProtection sheet="1" formatCells="0" formatColumns="0" formatRows="0" sort="0" autoFilter="0"/>
  <mergeCells count="25">
    <mergeCell ref="A1:J1"/>
    <mergeCell ref="A2:J2"/>
    <mergeCell ref="A3:B3"/>
    <mergeCell ref="C3:E3"/>
    <mergeCell ref="F3:G3"/>
    <mergeCell ref="A4:B4"/>
    <mergeCell ref="C4:E4"/>
    <mergeCell ref="F4:G4"/>
    <mergeCell ref="A5:B5"/>
    <mergeCell ref="C5:E5"/>
    <mergeCell ref="F5:G5"/>
    <mergeCell ref="A6:B6"/>
    <mergeCell ref="C6:E6"/>
    <mergeCell ref="F6:G6"/>
    <mergeCell ref="A7:B7"/>
    <mergeCell ref="C7:E7"/>
    <mergeCell ref="F7:G7"/>
    <mergeCell ref="F8:G8"/>
    <mergeCell ref="F9:G9"/>
    <mergeCell ref="A10:L10"/>
    <mergeCell ref="A12:J12"/>
    <mergeCell ref="A19:J19"/>
    <mergeCell ref="A25:J25"/>
    <mergeCell ref="A30:J30"/>
    <mergeCell ref="A35:J35"/>
  </mergeCells>
  <conditionalFormatting sqref="H12:H200">
    <cfRule type="containsText" dxfId="0" priority="1">
      <formula>NOT(ISERROR(SEARCH("Reviewed",H12)))</formula>
    </cfRule>
    <cfRule type="containsText" dxfId="1" priority="2">
      <formula>NOT(ISERROR(SEARCH("Complete",H12)))</formula>
    </cfRule>
    <cfRule type="containsText" dxfId="2" priority="3">
      <formula>NOT(ISERROR(SEARCH("In Draft",H12)))</formula>
    </cfRule>
    <cfRule type="containsText" dxfId="3" priority="4">
      <formula>NOT(ISERROR(SEARCH("Not Started",H12)))</formula>
    </cfRule>
    <cfRule type="containsText" dxfId="4" priority="5">
      <formula>NOT(ISERROR(SEARCH("Missing",H12)))</formula>
    </cfRule>
  </conditionalFormatting>
  <conditionalFormatting sqref="I12:I200">
    <cfRule type="containsText" dxfId="5" priority="1">
      <formula>NOT(ISERROR(SEARCH("Critical",I12)))</formula>
    </cfRule>
    <cfRule type="containsText" dxfId="6" priority="2">
      <formula>NOT(ISERROR(SEARCH("High",I12)))</formula>
    </cfRule>
    <cfRule type="containsText" dxfId="7" priority="3">
      <formula>NOT(ISERROR(SEARCH("Medium",I12)))</formula>
    </cfRule>
  </conditionalFormatting>
  <conditionalFormatting sqref="I5">
    <cfRule type="cellIs" dxfId="8" priority="1" operator="greaterThanOrEqual">
      <formula>0.95</formula>
    </cfRule>
    <cfRule type="cellIs" dxfId="9" priority="2" operator="between">
      <formula>0.7</formula>
      <formula>0.95</formula>
    </cfRule>
    <cfRule type="cellIs" dxfId="10" priority="3" operator="lessThan">
      <formula>0.7</formula>
    </cfRule>
  </conditionalFormatting>
  <conditionalFormatting sqref="L12:L200">
    <cfRule type="cellIs" dxfId="11" priority="1" operator="equal">
      <formula>TRUE</formula>
    </cfRule>
  </conditionalFormatting>
  <conditionalFormatting sqref="B12:B200">
    <cfRule type="expression" dxfId="12" priority="1">
      <formula>$L12=TRUE</formula>
    </cfRule>
  </conditionalFormatting>
  <conditionalFormatting sqref="L12:L200">
    <cfRule type="cellIs" dxfId="13" priority="1" operator="equal">
      <formula>TRUE</formula>
    </cfRule>
  </conditionalFormatting>
  <conditionalFormatting sqref="B12:B200">
    <cfRule type="expression" dxfId="14" priority="1">
      <formula>$L12=TRUE</formula>
    </cfRule>
  </conditionalFormatting>
  <dataValidations count="12">
    <dataValidation type="list" allowBlank="1" sqref="C100:C200">
      <formula1>"Technical,Management,Past Performance,Price,Admin,Other"</formula1>
    </dataValidation>
    <dataValidation type="list" allowBlank="1" sqref="C12:C200">
      <formula1>"Technical,Management,Past Performance,Price,Admin,Other"</formula1>
    </dataValidation>
    <dataValidation type="list" allowBlank="1" sqref="F100:F200">
      <formula1>"Y,N"</formula1>
    </dataValidation>
    <dataValidation type="list" allowBlank="1" sqref="F12:F200">
      <formula1>"Y,N"</formula1>
    </dataValidation>
    <dataValidation type="list" allowBlank="1" sqref="H100:H200">
      <formula1>"Not Started,In Draft,Complete,Reviewed,Missing"</formula1>
    </dataValidation>
    <dataValidation type="list" allowBlank="1" sqref="H12:H200">
      <formula1>"Not Started,In Draft,Complete,Reviewed,Missing"</formula1>
    </dataValidation>
    <dataValidation type="list" allowBlank="1" sqref="I100:I200">
      <formula1>"Critical,High,Medium,Low"</formula1>
    </dataValidation>
    <dataValidation type="list" allowBlank="1" sqref="I12:I200">
      <formula1>"Critical,High,Medium,Low"</formula1>
    </dataValidation>
    <dataValidation type="list" allowBlank="1" showErrorMessage="1" errorTitle="Pick a status" error="Use Not Started / Draft / Review / Final / NA." sqref="K100:K200">
      <formula1>"Not Started,Draft,Review,Final,NA"</formula1>
    </dataValidation>
    <dataValidation type="list" allowBlank="1" showErrorMessage="1" errorTitle="Pick a status" error="Use Not Started / Draft / Review / Final / NA." sqref="K12:K200">
      <formula1>"Not Started,Draft,Review,Final,NA"</formula1>
    </dataValidation>
    <dataValidation type="list" allowBlank="1" showErrorMessage="1" errorTitle="Boolean only" error="Use TRUE or FALSE. Google Sheets renders this as a checkbox automatically." sqref="L100:L200">
      <formula1>"TRUE,FALSE"</formula1>
    </dataValidation>
    <dataValidation type="list" allowBlank="1" showErrorMessage="1" errorTitle="Boolean only" error="Use TRUE or FALSE. Google Sheets renders this as a checkbox automatically." sqref="L12:L200">
      <formula1>"TRUE,FALSE"</formula1>
    </dataValidation>
  </dataValidations>
  <printOptions horizontalCentered="1"/>
  <pageMargins left="0.4" right="0.4" top="0.6" bottom="0.6" header="0.3" footer="0.3"/>
  <pageSetup paperSize="9" orientation="landscape" horizontalDpi="4294967295" verticalDpi="4294967295" scale="100" fitToWidth="1" fitToHeight="0" firstPageNumber="1" useFirstPageNumber="1" copies="1"/>
  <headerFooter>
    <oddHeader>&amp;L&amp;"Calibri,Bold"&amp;12&amp;K047857CapturePilot &amp;K000000· Federal Lead Kit&amp;R&amp;"Calibri,Italic"&amp;10 09 Compliance Matrix</oddHeader>
    <oddFooter>&amp;Lcapturepilot.com&amp;C&amp;P of &amp;N&amp;RSection L Matrix</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2"/>
  <sheetViews>
    <sheetView workbookViewId="0" showGridLines="0" zoomScale="100" zoomScaleNormal="100">
      <pane xSplit="1" ySplit="5" topLeftCell="B6" activePane="bottomRight" state="frozen"/>
      <selection pane="bottomRight"/>
    </sheetView>
  </sheetViews>
  <sheetFormatPr defaultRowHeight="15" outlineLevelRow="0" outlineLevelCol="0" x14ac:dyDescent="55"/>
  <cols>
    <col min="1" max="1" width="32" customWidth="1"/>
    <col min="2" max="2" width="13" customWidth="1"/>
    <col min="3" max="3" width="32" customWidth="1"/>
    <col min="4" max="4" width="38" customWidth="1"/>
    <col min="5" max="5" width="32" customWidth="1"/>
    <col min="6" max="8" width="10" customWidth="1"/>
    <col min="9" max="9" width="30" customWidth="1"/>
    <col min="10" max="11" width="16" customWidth="1"/>
    <col min="12" max="12" width="12" customWidth="1"/>
  </cols>
  <sheetData>
    <row r="1" ht="36" customHeight="1" spans="1:10" x14ac:dyDescent="0.25">
      <c r="A1" s="1" t="s">
        <v>135</v>
      </c>
      <c r="B1" s="10"/>
      <c r="C1" s="10"/>
      <c r="D1" s="10"/>
      <c r="E1" s="10"/>
      <c r="F1" s="10"/>
      <c r="G1" s="10"/>
      <c r="H1" s="10"/>
      <c r="I1" s="10"/>
      <c r="J1" s="10"/>
    </row>
    <row r="2" ht="30" customHeight="1" spans="1:10" x14ac:dyDescent="0.25">
      <c r="A2" s="2" t="s">
        <v>136</v>
      </c>
      <c r="B2" s="10"/>
      <c r="C2" s="10"/>
      <c r="D2" s="10"/>
      <c r="E2" s="10"/>
      <c r="F2" s="10"/>
      <c r="G2" s="10"/>
      <c r="H2" s="10"/>
      <c r="I2" s="10"/>
      <c r="J2" s="10"/>
    </row>
    <row r="3" ht="22" customHeight="1" spans="1:10" x14ac:dyDescent="0.25">
      <c r="A3" s="5" t="s">
        <v>137</v>
      </c>
      <c r="B3" s="10"/>
      <c r="C3" s="10"/>
      <c r="D3" s="10"/>
      <c r="E3" s="10"/>
      <c r="F3" s="21" t="s">
        <v>138</v>
      </c>
      <c r="G3" s="21" t="s">
        <v>139</v>
      </c>
      <c r="H3" s="21" t="s">
        <v>140</v>
      </c>
      <c r="I3" s="21" t="s">
        <v>31</v>
      </c>
      <c r="J3" s="10"/>
    </row>
    <row r="4" ht="22" customHeight="1" spans="1:10" x14ac:dyDescent="0.25">
      <c r="A4" s="27" t="s">
        <v>141</v>
      </c>
      <c r="B4" s="10"/>
      <c r="C4" s="10"/>
      <c r="D4" s="10"/>
      <c r="E4" s="10"/>
      <c r="F4" s="28">
        <f>IFERROR(AVERAGEIF(F6:F100,"&gt;0"),0)</f>
      </c>
      <c r="G4" s="28">
        <f>IFERROR(AVERAGEIF(G6:G100,"&gt;0"),0)</f>
      </c>
      <c r="H4" s="29">
        <f>IFERROR(G4-F4,0)</f>
      </c>
      <c r="I4" s="30">
        <f>IF(G4=0,"No Red Team yet",IF(G4&gt;=4,"On track",IF(G4&gt;=3,"Needs work","Rewrite required")))</f>
      </c>
      <c r="J4" s="10"/>
    </row>
    <row r="5" ht="36" customHeight="1" spans="1:12" x14ac:dyDescent="0.25">
      <c r="A5" s="21" t="s">
        <v>142</v>
      </c>
      <c r="B5" s="21" t="s">
        <v>143</v>
      </c>
      <c r="C5" s="21" t="s">
        <v>144</v>
      </c>
      <c r="D5" s="21" t="s">
        <v>145</v>
      </c>
      <c r="E5" s="21" t="s">
        <v>146</v>
      </c>
      <c r="F5" s="21" t="s">
        <v>147</v>
      </c>
      <c r="G5" s="21" t="s">
        <v>148</v>
      </c>
      <c r="H5" s="21" t="s">
        <v>149</v>
      </c>
      <c r="I5" s="21" t="s">
        <v>150</v>
      </c>
      <c r="J5" s="21" t="s">
        <v>151</v>
      </c>
      <c r="K5" s="21" t="s">
        <v>31</v>
      </c>
      <c r="L5" s="21" t="s">
        <v>53</v>
      </c>
    </row>
    <row r="6" ht="22" customHeight="1" spans="1:12" x14ac:dyDescent="0.25">
      <c r="A6" s="22" t="s">
        <v>152</v>
      </c>
      <c r="B6" s="23"/>
      <c r="C6" s="23"/>
      <c r="D6" s="23"/>
      <c r="E6" s="23"/>
      <c r="F6" s="23"/>
      <c r="G6" s="23"/>
      <c r="H6" s="23"/>
      <c r="I6" s="23"/>
      <c r="J6" s="23"/>
      <c r="K6" s="24" t="s">
        <v>13</v>
      </c>
      <c r="L6" s="25" t="b">
        <v>0</v>
      </c>
    </row>
    <row r="7" ht="38" customHeight="1" spans="1:12" x14ac:dyDescent="0.25">
      <c r="A7" s="14" t="s">
        <v>153</v>
      </c>
      <c r="B7" s="24" t="s">
        <v>154</v>
      </c>
      <c r="C7" s="7" t="s">
        <v>34</v>
      </c>
      <c r="D7" s="7" t="s">
        <v>34</v>
      </c>
      <c r="E7" s="7" t="s">
        <v>34</v>
      </c>
      <c r="F7" s="24" t="s">
        <v>34</v>
      </c>
      <c r="G7" s="24" t="s">
        <v>34</v>
      </c>
      <c r="H7" s="31">
        <f>IF(OR(F7="",G7=""),"",G7-F7)</f>
      </c>
      <c r="I7" s="7"/>
      <c r="J7" s="24"/>
      <c r="K7" s="24" t="s">
        <v>13</v>
      </c>
      <c r="L7" s="25" t="b">
        <v>0</v>
      </c>
    </row>
    <row r="8" ht="38" customHeight="1" spans="1:12" x14ac:dyDescent="0.25">
      <c r="A8" s="14" t="s">
        <v>155</v>
      </c>
      <c r="B8" s="24" t="s">
        <v>154</v>
      </c>
      <c r="C8" s="7" t="s">
        <v>34</v>
      </c>
      <c r="D8" s="7" t="s">
        <v>34</v>
      </c>
      <c r="E8" s="7" t="s">
        <v>34</v>
      </c>
      <c r="F8" s="24" t="s">
        <v>34</v>
      </c>
      <c r="G8" s="24" t="s">
        <v>34</v>
      </c>
      <c r="H8" s="31">
        <f>IF(OR(F8="",G8=""),"",G8-F8)</f>
      </c>
      <c r="I8" s="7"/>
      <c r="J8" s="24"/>
      <c r="K8" s="24" t="s">
        <v>13</v>
      </c>
      <c r="L8" s="25" t="b">
        <v>0</v>
      </c>
    </row>
    <row r="9" ht="38" customHeight="1" spans="1:12" x14ac:dyDescent="0.25">
      <c r="A9" s="14" t="s">
        <v>156</v>
      </c>
      <c r="B9" s="24" t="s">
        <v>157</v>
      </c>
      <c r="C9" s="7" t="s">
        <v>34</v>
      </c>
      <c r="D9" s="7" t="s">
        <v>34</v>
      </c>
      <c r="E9" s="7" t="s">
        <v>34</v>
      </c>
      <c r="F9" s="24" t="s">
        <v>34</v>
      </c>
      <c r="G9" s="24" t="s">
        <v>34</v>
      </c>
      <c r="H9" s="31">
        <f>IF(OR(F9="",G9=""),"",G9-F9)</f>
      </c>
      <c r="I9" s="7"/>
      <c r="J9" s="24"/>
      <c r="K9" s="24" t="s">
        <v>13</v>
      </c>
      <c r="L9" s="25" t="b">
        <v>0</v>
      </c>
    </row>
    <row r="10" ht="38" customHeight="1" spans="1:12" x14ac:dyDescent="0.25">
      <c r="A10" s="14" t="s">
        <v>158</v>
      </c>
      <c r="B10" s="24" t="s">
        <v>157</v>
      </c>
      <c r="C10" s="7" t="s">
        <v>34</v>
      </c>
      <c r="D10" s="7" t="s">
        <v>34</v>
      </c>
      <c r="E10" s="7" t="s">
        <v>34</v>
      </c>
      <c r="F10" s="24" t="s">
        <v>34</v>
      </c>
      <c r="G10" s="24" t="s">
        <v>34</v>
      </c>
      <c r="H10" s="31">
        <f>IF(OR(F10="",G10=""),"",G10-F10)</f>
      </c>
      <c r="I10" s="7"/>
      <c r="J10" s="24"/>
      <c r="K10" s="24" t="s">
        <v>13</v>
      </c>
      <c r="L10" s="25" t="b">
        <v>0</v>
      </c>
    </row>
    <row r="11" ht="22" customHeight="1" spans="1:12" x14ac:dyDescent="0.25">
      <c r="A11" s="22" t="s">
        <v>159</v>
      </c>
      <c r="B11" s="23"/>
      <c r="C11" s="23"/>
      <c r="D11" s="23"/>
      <c r="E11" s="23"/>
      <c r="F11" s="23"/>
      <c r="G11" s="23"/>
      <c r="H11" s="23"/>
      <c r="I11" s="23"/>
      <c r="J11" s="23"/>
      <c r="K11" s="24" t="s">
        <v>13</v>
      </c>
      <c r="L11" s="25" t="b">
        <v>0</v>
      </c>
    </row>
    <row r="12" ht="38" customHeight="1" spans="1:12" x14ac:dyDescent="0.25">
      <c r="A12" s="14" t="s">
        <v>160</v>
      </c>
      <c r="B12" s="24" t="s">
        <v>157</v>
      </c>
      <c r="C12" s="7" t="s">
        <v>34</v>
      </c>
      <c r="D12" s="7" t="s">
        <v>34</v>
      </c>
      <c r="E12" s="7" t="s">
        <v>34</v>
      </c>
      <c r="F12" s="24" t="s">
        <v>34</v>
      </c>
      <c r="G12" s="24" t="s">
        <v>34</v>
      </c>
      <c r="H12" s="31">
        <f>IF(OR(F12="",G12=""),"",G12-F12)</f>
      </c>
      <c r="I12" s="7"/>
      <c r="J12" s="24"/>
      <c r="K12" s="24" t="s">
        <v>13</v>
      </c>
      <c r="L12" s="25" t="b">
        <v>0</v>
      </c>
    </row>
    <row r="13" ht="38" customHeight="1" spans="1:12" x14ac:dyDescent="0.25">
      <c r="A13" s="14" t="s">
        <v>161</v>
      </c>
      <c r="B13" s="24" t="s">
        <v>157</v>
      </c>
      <c r="C13" s="7" t="s">
        <v>34</v>
      </c>
      <c r="D13" s="7" t="s">
        <v>34</v>
      </c>
      <c r="E13" s="7" t="s">
        <v>34</v>
      </c>
      <c r="F13" s="24" t="s">
        <v>34</v>
      </c>
      <c r="G13" s="24" t="s">
        <v>34</v>
      </c>
      <c r="H13" s="31">
        <f>IF(OR(F13="",G13=""),"",G13-F13)</f>
      </c>
      <c r="I13" s="7"/>
      <c r="J13" s="24"/>
      <c r="K13" s="24" t="s">
        <v>13</v>
      </c>
      <c r="L13" s="25" t="b">
        <v>0</v>
      </c>
    </row>
    <row r="14" ht="38" customHeight="1" spans="1:12" x14ac:dyDescent="0.25">
      <c r="A14" s="14" t="s">
        <v>162</v>
      </c>
      <c r="B14" s="24" t="s">
        <v>157</v>
      </c>
      <c r="C14" s="7" t="s">
        <v>34</v>
      </c>
      <c r="D14" s="7" t="s">
        <v>34</v>
      </c>
      <c r="E14" s="7" t="s">
        <v>34</v>
      </c>
      <c r="F14" s="24" t="s">
        <v>34</v>
      </c>
      <c r="G14" s="24" t="s">
        <v>34</v>
      </c>
      <c r="H14" s="31">
        <f>IF(OR(F14="",G14=""),"",G14-F14)</f>
      </c>
      <c r="I14" s="7"/>
      <c r="J14" s="24"/>
      <c r="K14" s="24" t="s">
        <v>13</v>
      </c>
      <c r="L14" s="25" t="b">
        <v>0</v>
      </c>
    </row>
    <row r="15" ht="38" customHeight="1" spans="1:12" x14ac:dyDescent="0.25">
      <c r="A15" s="14" t="s">
        <v>163</v>
      </c>
      <c r="B15" s="24" t="s">
        <v>164</v>
      </c>
      <c r="C15" s="7" t="s">
        <v>34</v>
      </c>
      <c r="D15" s="7" t="s">
        <v>34</v>
      </c>
      <c r="E15" s="7" t="s">
        <v>34</v>
      </c>
      <c r="F15" s="24" t="s">
        <v>34</v>
      </c>
      <c r="G15" s="24" t="s">
        <v>34</v>
      </c>
      <c r="H15" s="31">
        <f>IF(OR(F15="",G15=""),"",G15-F15)</f>
      </c>
      <c r="I15" s="7"/>
      <c r="J15" s="24"/>
      <c r="K15" s="24" t="s">
        <v>13</v>
      </c>
      <c r="L15" s="25" t="b">
        <v>0</v>
      </c>
    </row>
    <row r="16" ht="22" customHeight="1" spans="1:12" x14ac:dyDescent="0.25">
      <c r="A16" s="22" t="s">
        <v>165</v>
      </c>
      <c r="B16" s="23"/>
      <c r="C16" s="23"/>
      <c r="D16" s="23"/>
      <c r="E16" s="23"/>
      <c r="F16" s="23"/>
      <c r="G16" s="23"/>
      <c r="H16" s="23"/>
      <c r="I16" s="23"/>
      <c r="J16" s="23"/>
      <c r="K16" s="24" t="s">
        <v>13</v>
      </c>
      <c r="L16" s="25" t="b">
        <v>0</v>
      </c>
    </row>
    <row r="17" ht="38" customHeight="1" spans="1:12" x14ac:dyDescent="0.25">
      <c r="A17" s="14" t="s">
        <v>166</v>
      </c>
      <c r="B17" s="24" t="s">
        <v>157</v>
      </c>
      <c r="C17" s="7" t="s">
        <v>34</v>
      </c>
      <c r="D17" s="7" t="s">
        <v>34</v>
      </c>
      <c r="E17" s="7" t="s">
        <v>34</v>
      </c>
      <c r="F17" s="24" t="s">
        <v>34</v>
      </c>
      <c r="G17" s="24" t="s">
        <v>34</v>
      </c>
      <c r="H17" s="31">
        <f>IF(OR(F17="",G17=""),"",G17-F17)</f>
      </c>
      <c r="I17" s="7"/>
      <c r="J17" s="24"/>
      <c r="K17" s="24" t="s">
        <v>13</v>
      </c>
      <c r="L17" s="25" t="b">
        <v>0</v>
      </c>
    </row>
    <row r="18" ht="38" customHeight="1" spans="1:12" x14ac:dyDescent="0.25">
      <c r="A18" s="14" t="s">
        <v>167</v>
      </c>
      <c r="B18" s="24" t="s">
        <v>157</v>
      </c>
      <c r="C18" s="7" t="s">
        <v>34</v>
      </c>
      <c r="D18" s="7" t="s">
        <v>34</v>
      </c>
      <c r="E18" s="7" t="s">
        <v>34</v>
      </c>
      <c r="F18" s="24" t="s">
        <v>34</v>
      </c>
      <c r="G18" s="24" t="s">
        <v>34</v>
      </c>
      <c r="H18" s="31">
        <f>IF(OR(F18="",G18=""),"",G18-F18)</f>
      </c>
      <c r="I18" s="7"/>
      <c r="J18" s="24"/>
      <c r="K18" s="24" t="s">
        <v>13</v>
      </c>
      <c r="L18" s="25" t="b">
        <v>0</v>
      </c>
    </row>
    <row r="19" ht="38" customHeight="1" spans="1:12" x14ac:dyDescent="0.25">
      <c r="A19" s="14" t="s">
        <v>168</v>
      </c>
      <c r="B19" s="24" t="s">
        <v>164</v>
      </c>
      <c r="C19" s="7" t="s">
        <v>34</v>
      </c>
      <c r="D19" s="7" t="s">
        <v>34</v>
      </c>
      <c r="E19" s="7" t="s">
        <v>34</v>
      </c>
      <c r="F19" s="24" t="s">
        <v>34</v>
      </c>
      <c r="G19" s="24" t="s">
        <v>34</v>
      </c>
      <c r="H19" s="31">
        <f>IF(OR(F19="",G19=""),"",G19-F19)</f>
      </c>
      <c r="I19" s="7"/>
      <c r="J19" s="24"/>
      <c r="K19" s="24" t="s">
        <v>13</v>
      </c>
      <c r="L19" s="25" t="b">
        <v>0</v>
      </c>
    </row>
    <row r="20" ht="22" customHeight="1" spans="1:12" x14ac:dyDescent="0.25">
      <c r="A20" s="22" t="s">
        <v>169</v>
      </c>
      <c r="B20" s="23"/>
      <c r="C20" s="23"/>
      <c r="D20" s="23"/>
      <c r="E20" s="23"/>
      <c r="F20" s="23"/>
      <c r="G20" s="23"/>
      <c r="H20" s="23"/>
      <c r="I20" s="23"/>
      <c r="J20" s="23"/>
      <c r="K20" s="24" t="s">
        <v>13</v>
      </c>
      <c r="L20" s="25" t="b">
        <v>0</v>
      </c>
    </row>
    <row r="21" ht="38" customHeight="1" spans="1:12" x14ac:dyDescent="0.25">
      <c r="A21" s="14" t="s">
        <v>170</v>
      </c>
      <c r="B21" s="24" t="s">
        <v>171</v>
      </c>
      <c r="C21" s="7" t="s">
        <v>34</v>
      </c>
      <c r="D21" s="7" t="s">
        <v>34</v>
      </c>
      <c r="E21" s="7" t="s">
        <v>34</v>
      </c>
      <c r="F21" s="24" t="s">
        <v>34</v>
      </c>
      <c r="G21" s="24" t="s">
        <v>34</v>
      </c>
      <c r="H21" s="31">
        <f>IF(OR(F21="",G21=""),"",G21-F21)</f>
      </c>
      <c r="I21" s="7"/>
      <c r="J21" s="24"/>
      <c r="K21" s="24" t="s">
        <v>13</v>
      </c>
      <c r="L21" s="25" t="b">
        <v>0</v>
      </c>
    </row>
    <row r="22" ht="38" customHeight="1" spans="1:12" x14ac:dyDescent="0.25">
      <c r="A22" s="14" t="s">
        <v>172</v>
      </c>
      <c r="B22" s="24" t="s">
        <v>171</v>
      </c>
      <c r="C22" s="7" t="s">
        <v>34</v>
      </c>
      <c r="D22" s="7" t="s">
        <v>34</v>
      </c>
      <c r="E22" s="7" t="s">
        <v>34</v>
      </c>
      <c r="F22" s="24" t="s">
        <v>34</v>
      </c>
      <c r="G22" s="24" t="s">
        <v>34</v>
      </c>
      <c r="H22" s="31">
        <f>IF(OR(F22="",G22=""),"",G22-F22)</f>
      </c>
      <c r="I22" s="7"/>
      <c r="J22" s="24"/>
      <c r="K22" s="24" t="s">
        <v>13</v>
      </c>
      <c r="L22" s="25" t="b">
        <v>0</v>
      </c>
    </row>
    <row r="23" ht="32" customHeight="1" spans="1:12" x14ac:dyDescent="0.25">
      <c r="A23" s="14"/>
      <c r="B23" s="24"/>
      <c r="C23" s="7"/>
      <c r="D23" s="7"/>
      <c r="E23" s="7"/>
      <c r="F23" s="24"/>
      <c r="G23" s="24"/>
      <c r="H23" s="31">
        <f>IF(OR(F23="",G23=""),"",G23-F23)</f>
      </c>
      <c r="I23" s="7"/>
      <c r="J23" s="24"/>
      <c r="K23" s="24" t="s">
        <v>13</v>
      </c>
      <c r="L23" s="25" t="b">
        <v>0</v>
      </c>
    </row>
    <row r="24" ht="32" customHeight="1" spans="1:12" x14ac:dyDescent="0.25">
      <c r="A24" s="14"/>
      <c r="B24" s="24"/>
      <c r="C24" s="7"/>
      <c r="D24" s="7"/>
      <c r="E24" s="7"/>
      <c r="F24" s="24"/>
      <c r="G24" s="24"/>
      <c r="H24" s="31">
        <f>IF(OR(F24="",G24=""),"",G24-F24)</f>
      </c>
      <c r="I24" s="7"/>
      <c r="J24" s="24"/>
      <c r="K24" s="24" t="s">
        <v>13</v>
      </c>
      <c r="L24" s="25" t="b">
        <v>0</v>
      </c>
    </row>
    <row r="25" ht="32" customHeight="1" spans="1:12" x14ac:dyDescent="0.25">
      <c r="A25" s="14"/>
      <c r="B25" s="24"/>
      <c r="C25" s="7"/>
      <c r="D25" s="7"/>
      <c r="E25" s="7"/>
      <c r="F25" s="24"/>
      <c r="G25" s="24"/>
      <c r="H25" s="31">
        <f>IF(OR(F25="",G25=""),"",G25-F25)</f>
      </c>
      <c r="I25" s="7"/>
      <c r="J25" s="24"/>
      <c r="K25" s="24" t="s">
        <v>13</v>
      </c>
      <c r="L25" s="25" t="b">
        <v>0</v>
      </c>
    </row>
    <row r="26" ht="32" customHeight="1" spans="1:12" x14ac:dyDescent="0.25">
      <c r="A26" s="14"/>
      <c r="B26" s="24"/>
      <c r="C26" s="7"/>
      <c r="D26" s="7"/>
      <c r="E26" s="7"/>
      <c r="F26" s="24"/>
      <c r="G26" s="24"/>
      <c r="H26" s="31">
        <f>IF(OR(F26="",G26=""),"",G26-F26)</f>
      </c>
      <c r="I26" s="7"/>
      <c r="J26" s="24"/>
      <c r="K26" s="24" t="s">
        <v>13</v>
      </c>
      <c r="L26" s="25" t="b">
        <v>0</v>
      </c>
    </row>
    <row r="27" ht="32" customHeight="1" spans="1:12" x14ac:dyDescent="0.25">
      <c r="A27" s="14"/>
      <c r="B27" s="24"/>
      <c r="C27" s="7"/>
      <c r="D27" s="7"/>
      <c r="E27" s="7"/>
      <c r="F27" s="24"/>
      <c r="G27" s="24"/>
      <c r="H27" s="31">
        <f>IF(OR(F27="",G27=""),"",G27-F27)</f>
      </c>
      <c r="I27" s="7"/>
      <c r="J27" s="24"/>
      <c r="K27" s="24" t="s">
        <v>13</v>
      </c>
      <c r="L27" s="25" t="b">
        <v>0</v>
      </c>
    </row>
    <row r="28" ht="32" customHeight="1" spans="1:12" x14ac:dyDescent="0.25">
      <c r="A28" s="14"/>
      <c r="B28" s="24"/>
      <c r="C28" s="7"/>
      <c r="D28" s="7"/>
      <c r="E28" s="7"/>
      <c r="F28" s="24"/>
      <c r="G28" s="24"/>
      <c r="H28" s="31">
        <f>IF(OR(F28="",G28=""),"",G28-F28)</f>
      </c>
      <c r="I28" s="7"/>
      <c r="J28" s="24"/>
      <c r="K28" s="24" t="s">
        <v>13</v>
      </c>
      <c r="L28" s="25" t="b">
        <v>0</v>
      </c>
    </row>
    <row r="29" ht="32" customHeight="1" spans="1:12" x14ac:dyDescent="0.25">
      <c r="A29" s="14"/>
      <c r="B29" s="24"/>
      <c r="C29" s="7"/>
      <c r="D29" s="7"/>
      <c r="E29" s="7"/>
      <c r="F29" s="24"/>
      <c r="G29" s="24"/>
      <c r="H29" s="31">
        <f>IF(OR(F29="",G29=""),"",G29-F29)</f>
      </c>
      <c r="I29" s="7"/>
      <c r="J29" s="24"/>
      <c r="K29" s="24" t="s">
        <v>13</v>
      </c>
      <c r="L29" s="25" t="b">
        <v>0</v>
      </c>
    </row>
    <row r="30" ht="32" customHeight="1" spans="1:12" x14ac:dyDescent="0.25">
      <c r="A30" s="14"/>
      <c r="B30" s="24"/>
      <c r="C30" s="7"/>
      <c r="D30" s="7"/>
      <c r="E30" s="7"/>
      <c r="F30" s="24"/>
      <c r="G30" s="24"/>
      <c r="H30" s="31">
        <f>IF(OR(F30="",G30=""),"",G30-F30)</f>
      </c>
      <c r="I30" s="7"/>
      <c r="J30" s="24"/>
      <c r="K30" s="24" t="s">
        <v>13</v>
      </c>
      <c r="L30" s="25" t="b">
        <v>0</v>
      </c>
    </row>
    <row r="31" ht="32" customHeight="1" spans="1:12" x14ac:dyDescent="0.25">
      <c r="A31" s="14"/>
      <c r="B31" s="24"/>
      <c r="C31" s="7"/>
      <c r="D31" s="7"/>
      <c r="E31" s="7"/>
      <c r="F31" s="24"/>
      <c r="G31" s="24"/>
      <c r="H31" s="31">
        <f>IF(OR(F31="",G31=""),"",G31-F31)</f>
      </c>
      <c r="I31" s="7"/>
      <c r="J31" s="24"/>
      <c r="K31" s="24" t="s">
        <v>13</v>
      </c>
      <c r="L31" s="25" t="b">
        <v>0</v>
      </c>
    </row>
    <row r="32" ht="32" customHeight="1" spans="1:12" x14ac:dyDescent="0.25">
      <c r="A32" s="14"/>
      <c r="B32" s="24"/>
      <c r="C32" s="7"/>
      <c r="D32" s="7"/>
      <c r="E32" s="7"/>
      <c r="F32" s="24"/>
      <c r="G32" s="24"/>
      <c r="H32" s="31">
        <f>IF(OR(F32="",G32=""),"",G32-F32)</f>
      </c>
      <c r="I32" s="7"/>
      <c r="J32" s="24"/>
      <c r="K32" s="24" t="s">
        <v>13</v>
      </c>
      <c r="L32" s="25" t="b">
        <v>0</v>
      </c>
    </row>
    <row r="33" ht="32" customHeight="1" spans="1:12" x14ac:dyDescent="0.25">
      <c r="A33" s="14"/>
      <c r="B33" s="24"/>
      <c r="C33" s="7"/>
      <c r="D33" s="7"/>
      <c r="E33" s="7"/>
      <c r="F33" s="24"/>
      <c r="G33" s="24"/>
      <c r="H33" s="31">
        <f>IF(OR(F33="",G33=""),"",G33-F33)</f>
      </c>
      <c r="I33" s="7"/>
      <c r="J33" s="24"/>
      <c r="K33" s="24" t="s">
        <v>13</v>
      </c>
      <c r="L33" s="25" t="b">
        <v>0</v>
      </c>
    </row>
    <row r="34" ht="32" customHeight="1" spans="1:12" x14ac:dyDescent="0.25">
      <c r="A34" s="14"/>
      <c r="B34" s="24"/>
      <c r="C34" s="7"/>
      <c r="D34" s="7"/>
      <c r="E34" s="7"/>
      <c r="F34" s="24"/>
      <c r="G34" s="24"/>
      <c r="H34" s="31">
        <f>IF(OR(F34="",G34=""),"",G34-F34)</f>
      </c>
      <c r="I34" s="7"/>
      <c r="J34" s="24"/>
      <c r="K34" s="24" t="s">
        <v>13</v>
      </c>
      <c r="L34" s="25" t="b">
        <v>0</v>
      </c>
    </row>
    <row r="35" ht="32" customHeight="1" spans="1:12" x14ac:dyDescent="0.25">
      <c r="A35" s="14"/>
      <c r="B35" s="24"/>
      <c r="C35" s="7"/>
      <c r="D35" s="7"/>
      <c r="E35" s="7"/>
      <c r="F35" s="24"/>
      <c r="G35" s="24"/>
      <c r="H35" s="31">
        <f>IF(OR(F35="",G35=""),"",G35-F35)</f>
      </c>
      <c r="I35" s="7"/>
      <c r="J35" s="24"/>
      <c r="K35" s="24" t="s">
        <v>13</v>
      </c>
      <c r="L35" s="25" t="b">
        <v>0</v>
      </c>
    </row>
    <row r="36" ht="32" customHeight="1" spans="1:12" x14ac:dyDescent="0.25">
      <c r="A36" s="14"/>
      <c r="B36" s="24"/>
      <c r="C36" s="7"/>
      <c r="D36" s="7"/>
      <c r="E36" s="7"/>
      <c r="F36" s="24"/>
      <c r="G36" s="24"/>
      <c r="H36" s="31">
        <f>IF(OR(F36="",G36=""),"",G36-F36)</f>
      </c>
      <c r="I36" s="7"/>
      <c r="J36" s="24"/>
      <c r="K36" s="24" t="s">
        <v>13</v>
      </c>
      <c r="L36" s="25" t="b">
        <v>0</v>
      </c>
    </row>
    <row r="37" ht="32" customHeight="1" spans="1:12" x14ac:dyDescent="0.25">
      <c r="A37" s="14"/>
      <c r="B37" s="24"/>
      <c r="C37" s="7"/>
      <c r="D37" s="7"/>
      <c r="E37" s="7"/>
      <c r="F37" s="24"/>
      <c r="G37" s="24"/>
      <c r="H37" s="31">
        <f>IF(OR(F37="",G37=""),"",G37-F37)</f>
      </c>
      <c r="I37" s="7"/>
      <c r="J37" s="24"/>
      <c r="K37" s="24" t="s">
        <v>13</v>
      </c>
      <c r="L37" s="25" t="b">
        <v>0</v>
      </c>
    </row>
    <row r="38" ht="32" customHeight="1" spans="1:12" x14ac:dyDescent="0.25">
      <c r="A38" s="14"/>
      <c r="B38" s="24"/>
      <c r="C38" s="7"/>
      <c r="D38" s="7"/>
      <c r="E38" s="7"/>
      <c r="F38" s="24"/>
      <c r="G38" s="24"/>
      <c r="H38" s="31">
        <f>IF(OR(F38="",G38=""),"",G38-F38)</f>
      </c>
      <c r="I38" s="7"/>
      <c r="J38" s="24"/>
      <c r="K38" s="24" t="s">
        <v>13</v>
      </c>
      <c r="L38" s="25" t="b">
        <v>0</v>
      </c>
    </row>
    <row r="39" ht="32" customHeight="1" spans="1:12" x14ac:dyDescent="0.25">
      <c r="A39" s="14"/>
      <c r="B39" s="24"/>
      <c r="C39" s="7"/>
      <c r="D39" s="7"/>
      <c r="E39" s="7"/>
      <c r="F39" s="24"/>
      <c r="G39" s="24"/>
      <c r="H39" s="31">
        <f>IF(OR(F39="",G39=""),"",G39-F39)</f>
      </c>
      <c r="I39" s="7"/>
      <c r="J39" s="24"/>
      <c r="K39" s="24" t="s">
        <v>13</v>
      </c>
      <c r="L39" s="25" t="b">
        <v>0</v>
      </c>
    </row>
    <row r="40" ht="32" customHeight="1" spans="1:12" x14ac:dyDescent="0.25">
      <c r="A40" s="14"/>
      <c r="B40" s="24"/>
      <c r="C40" s="7"/>
      <c r="D40" s="7"/>
      <c r="E40" s="7"/>
      <c r="F40" s="24"/>
      <c r="G40" s="24"/>
      <c r="H40" s="31">
        <f>IF(OR(F40="",G40=""),"",G40-F40)</f>
      </c>
      <c r="I40" s="7"/>
      <c r="J40" s="24"/>
      <c r="K40" s="24" t="s">
        <v>13</v>
      </c>
      <c r="L40" s="25" t="b">
        <v>0</v>
      </c>
    </row>
    <row r="41" ht="32" customHeight="1" spans="1:12" x14ac:dyDescent="0.25">
      <c r="A41" s="14"/>
      <c r="B41" s="24"/>
      <c r="C41" s="7"/>
      <c r="D41" s="7"/>
      <c r="E41" s="7"/>
      <c r="F41" s="24"/>
      <c r="G41" s="24"/>
      <c r="H41" s="31">
        <f>IF(OR(F41="",G41=""),"",G41-F41)</f>
      </c>
      <c r="I41" s="7"/>
      <c r="J41" s="24"/>
      <c r="K41" s="24" t="s">
        <v>13</v>
      </c>
      <c r="L41" s="25" t="b">
        <v>0</v>
      </c>
    </row>
    <row r="42" ht="32" customHeight="1" spans="1:12" x14ac:dyDescent="0.25">
      <c r="A42" s="14"/>
      <c r="B42" s="24"/>
      <c r="C42" s="7"/>
      <c r="D42" s="7"/>
      <c r="E42" s="7"/>
      <c r="F42" s="24"/>
      <c r="G42" s="24"/>
      <c r="H42" s="31">
        <f>IF(OR(F42="",G42=""),"",G42-F42)</f>
      </c>
      <c r="I42" s="7"/>
      <c r="J42" s="24"/>
      <c r="K42" s="24" t="s">
        <v>13</v>
      </c>
      <c r="L42" s="25" t="b">
        <v>0</v>
      </c>
    </row>
    <row r="43" ht="32" customHeight="1" spans="1:12" x14ac:dyDescent="0.25">
      <c r="A43" s="14"/>
      <c r="B43" s="24"/>
      <c r="C43" s="7"/>
      <c r="D43" s="7"/>
      <c r="E43" s="7"/>
      <c r="F43" s="24"/>
      <c r="G43" s="24"/>
      <c r="H43" s="31">
        <f>IF(OR(F43="",G43=""),"",G43-F43)</f>
      </c>
      <c r="I43" s="7"/>
      <c r="J43" s="24"/>
      <c r="K43" s="24" t="s">
        <v>13</v>
      </c>
      <c r="L43" s="25" t="b">
        <v>0</v>
      </c>
    </row>
    <row r="44" ht="32" customHeight="1" spans="1:12" x14ac:dyDescent="0.25">
      <c r="A44" s="14"/>
      <c r="B44" s="24"/>
      <c r="C44" s="7"/>
      <c r="D44" s="7"/>
      <c r="E44" s="7"/>
      <c r="F44" s="24"/>
      <c r="G44" s="24"/>
      <c r="H44" s="31">
        <f>IF(OR(F44="",G44=""),"",G44-F44)</f>
      </c>
      <c r="I44" s="7"/>
      <c r="J44" s="24"/>
      <c r="K44" s="24" t="s">
        <v>13</v>
      </c>
      <c r="L44" s="25" t="b">
        <v>0</v>
      </c>
    </row>
    <row r="45" ht="32" customHeight="1" spans="1:12" x14ac:dyDescent="0.25">
      <c r="A45" s="14"/>
      <c r="B45" s="24"/>
      <c r="C45" s="7"/>
      <c r="D45" s="7"/>
      <c r="E45" s="7"/>
      <c r="F45" s="24"/>
      <c r="G45" s="24"/>
      <c r="H45" s="31">
        <f>IF(OR(F45="",G45=""),"",G45-F45)</f>
      </c>
      <c r="I45" s="7"/>
      <c r="J45" s="24"/>
      <c r="K45" s="24" t="s">
        <v>13</v>
      </c>
      <c r="L45" s="25" t="b">
        <v>0</v>
      </c>
    </row>
    <row r="46" ht="32" customHeight="1" spans="1:12" x14ac:dyDescent="0.25">
      <c r="A46" s="14"/>
      <c r="B46" s="24"/>
      <c r="C46" s="7"/>
      <c r="D46" s="7"/>
      <c r="E46" s="7"/>
      <c r="F46" s="24"/>
      <c r="G46" s="24"/>
      <c r="H46" s="31">
        <f>IF(OR(F46="",G46=""),"",G46-F46)</f>
      </c>
      <c r="I46" s="7"/>
      <c r="J46" s="24"/>
      <c r="K46" s="24" t="s">
        <v>13</v>
      </c>
      <c r="L46" s="25" t="b">
        <v>0</v>
      </c>
    </row>
    <row r="47" ht="32" customHeight="1" spans="1:12" x14ac:dyDescent="0.25">
      <c r="A47" s="14"/>
      <c r="B47" s="24"/>
      <c r="C47" s="7"/>
      <c r="D47" s="7"/>
      <c r="E47" s="7"/>
      <c r="F47" s="24"/>
      <c r="G47" s="24"/>
      <c r="H47" s="31">
        <f>IF(OR(F47="",G47=""),"",G47-F47)</f>
      </c>
      <c r="I47" s="7"/>
      <c r="J47" s="24"/>
      <c r="K47" s="24" t="s">
        <v>13</v>
      </c>
      <c r="L47" s="25" t="b">
        <v>0</v>
      </c>
    </row>
    <row r="48" ht="32" customHeight="1" spans="1:12" x14ac:dyDescent="0.25">
      <c r="A48" s="14"/>
      <c r="B48" s="24"/>
      <c r="C48" s="7"/>
      <c r="D48" s="7"/>
      <c r="E48" s="7"/>
      <c r="F48" s="24"/>
      <c r="G48" s="24"/>
      <c r="H48" s="31">
        <f>IF(OR(F48="",G48=""),"",G48-F48)</f>
      </c>
      <c r="I48" s="7"/>
      <c r="J48" s="24"/>
      <c r="K48" s="24" t="s">
        <v>13</v>
      </c>
      <c r="L48" s="25" t="b">
        <v>0</v>
      </c>
    </row>
    <row r="49" ht="32" customHeight="1" spans="1:12" x14ac:dyDescent="0.25">
      <c r="A49" s="14"/>
      <c r="B49" s="24"/>
      <c r="C49" s="7"/>
      <c r="D49" s="7"/>
      <c r="E49" s="7"/>
      <c r="F49" s="24"/>
      <c r="G49" s="24"/>
      <c r="H49" s="31">
        <f>IF(OR(F49="",G49=""),"",G49-F49)</f>
      </c>
      <c r="I49" s="7"/>
      <c r="J49" s="24"/>
      <c r="K49" s="24" t="s">
        <v>13</v>
      </c>
      <c r="L49" s="25" t="b">
        <v>0</v>
      </c>
    </row>
    <row r="50" ht="32" customHeight="1" spans="1:12" x14ac:dyDescent="0.25">
      <c r="A50" s="14"/>
      <c r="B50" s="24"/>
      <c r="C50" s="7"/>
      <c r="D50" s="7"/>
      <c r="E50" s="7"/>
      <c r="F50" s="24"/>
      <c r="G50" s="24"/>
      <c r="H50" s="31">
        <f>IF(OR(F50="",G50=""),"",G50-F50)</f>
      </c>
      <c r="I50" s="7"/>
      <c r="J50" s="24"/>
      <c r="K50" s="24" t="s">
        <v>13</v>
      </c>
      <c r="L50" s="25" t="b">
        <v>0</v>
      </c>
    </row>
    <row r="52" ht="50" customHeight="1" spans="1:10" x14ac:dyDescent="0.25">
      <c r="A52" s="32" t="s">
        <v>173</v>
      </c>
      <c r="B52" s="10"/>
      <c r="C52" s="10"/>
      <c r="D52" s="10"/>
      <c r="E52" s="10"/>
      <c r="F52" s="10"/>
      <c r="G52" s="10"/>
      <c r="H52" s="10"/>
      <c r="I52" s="10"/>
      <c r="J52" s="10"/>
    </row>
  </sheetData>
  <sheetProtection sheet="1" formatCells="0" formatColumns="0" formatRows="0" sort="0" autoFilter="0"/>
  <mergeCells count="11">
    <mergeCell ref="A1:J1"/>
    <mergeCell ref="A2:J2"/>
    <mergeCell ref="A3:E3"/>
    <mergeCell ref="I3:J3"/>
    <mergeCell ref="A4:E4"/>
    <mergeCell ref="I4:J4"/>
    <mergeCell ref="A6:J6"/>
    <mergeCell ref="A11:J11"/>
    <mergeCell ref="A16:J16"/>
    <mergeCell ref="A20:J20"/>
    <mergeCell ref="A52:J52"/>
  </mergeCells>
  <conditionalFormatting sqref="F6:F50">
    <cfRule type="cellIs" dxfId="15" priority="1" operator="greaterThanOrEqual">
      <formula>4</formula>
    </cfRule>
    <cfRule type="cellIs" dxfId="16" priority="2" operator="equal">
      <formula>3</formula>
    </cfRule>
    <cfRule type="cellIs" dxfId="17" priority="3" operator="lessThanOrEqual">
      <formula>2</formula>
    </cfRule>
  </conditionalFormatting>
  <conditionalFormatting sqref="G6:G50">
    <cfRule type="cellIs" dxfId="18" priority="1" operator="greaterThanOrEqual">
      <formula>4</formula>
    </cfRule>
    <cfRule type="cellIs" dxfId="19" priority="2" operator="equal">
      <formula>3</formula>
    </cfRule>
    <cfRule type="cellIs" dxfId="20" priority="3" operator="lessThanOrEqual">
      <formula>2</formula>
    </cfRule>
  </conditionalFormatting>
  <conditionalFormatting sqref="H6:H50">
    <cfRule type="cellIs" dxfId="21" priority="1" operator="greaterThan">
      <formula>0</formula>
    </cfRule>
    <cfRule type="cellIs" dxfId="22" priority="2" operator="equal">
      <formula>0</formula>
    </cfRule>
    <cfRule type="cellIs" dxfId="23" priority="3" operator="lessThan">
      <formula>0</formula>
    </cfRule>
  </conditionalFormatting>
  <conditionalFormatting sqref="L6:L50">
    <cfRule type="cellIs" dxfId="24" priority="1" operator="equal">
      <formula>TRUE</formula>
    </cfRule>
  </conditionalFormatting>
  <conditionalFormatting sqref="A6:A50">
    <cfRule type="expression" dxfId="25" priority="1">
      <formula>$L6=TRUE</formula>
    </cfRule>
  </conditionalFormatting>
  <conditionalFormatting sqref="L6:L50">
    <cfRule type="cellIs" dxfId="26" priority="1" operator="equal">
      <formula>TRUE</formula>
    </cfRule>
  </conditionalFormatting>
  <conditionalFormatting sqref="A6:A50">
    <cfRule type="expression" dxfId="27" priority="1">
      <formula>$L6=TRUE</formula>
    </cfRule>
  </conditionalFormatting>
  <dataValidations count="10">
    <dataValidation type="list" allowBlank="1" sqref="B10:B50">
      <formula1>"Most Important,Important,Less Important,N/A — Evaluated separately"</formula1>
    </dataValidation>
    <dataValidation type="list" allowBlank="1" sqref="B6:B50">
      <formula1>"Most Important,Important,Less Important,N/A — Evaluated separately"</formula1>
    </dataValidation>
    <dataValidation type="whole" allowBlank="1" showErrorMessage="1" errorTitle="Score 1-5 only" error="Pink Team scores run 1 (rewrite) to 5 (best in class)." sqref="F10:F50">
      <formula1>1</formula1>
      <formula2>5</formula2>
    </dataValidation>
    <dataValidation type="whole" allowBlank="1" showErrorMessage="1" errorTitle="Score 1-5 only" error="Pink Team scores run 1 (rewrite) to 5 (best in class)." sqref="F6:F50">
      <formula1>1</formula1>
      <formula2>5</formula2>
    </dataValidation>
    <dataValidation type="whole" allowBlank="1" showErrorMessage="1" errorTitle="Score 1-5 only" error="Red Team scores run 1 (rewrite) to 5 (best in class)." sqref="G10:G50">
      <formula1>1</formula1>
      <formula2>5</formula2>
    </dataValidation>
    <dataValidation type="whole" allowBlank="1" showErrorMessage="1" errorTitle="Score 1-5 only" error="Red Team scores run 1 (rewrite) to 5 (best in class)." sqref="G6:G50">
      <formula1>1</formula1>
      <formula2>5</formula2>
    </dataValidation>
    <dataValidation type="list" allowBlank="1" showErrorMessage="1" errorTitle="Pick a status" error="Use Not Started / Draft / Review / Final / NA." sqref="K10:K50">
      <formula1>"Not Started,Draft,Review,Final,NA"</formula1>
    </dataValidation>
    <dataValidation type="list" allowBlank="1" showErrorMessage="1" errorTitle="Pick a status" error="Use Not Started / Draft / Review / Final / NA." sqref="K6:K50">
      <formula1>"Not Started,Draft,Review,Final,NA"</formula1>
    </dataValidation>
    <dataValidation type="list" allowBlank="1" showErrorMessage="1" errorTitle="Boolean only" error="Use TRUE or FALSE. Google Sheets renders this as a checkbox automatically." sqref="L10:L50">
      <formula1>"TRUE,FALSE"</formula1>
    </dataValidation>
    <dataValidation type="list" allowBlank="1" showErrorMessage="1" errorTitle="Boolean only" error="Use TRUE or FALSE. Google Sheets renders this as a checkbox automatically." sqref="L6:L50">
      <formula1>"TRUE,FALSE"</formula1>
    </dataValidation>
  </dataValidations>
  <printOptions horizontalCentered="1"/>
  <pageMargins left="0.4" right="0.4" top="0.6" bottom="0.6" header="0.3" footer="0.3"/>
  <pageSetup paperSize="9" orientation="landscape" horizontalDpi="4294967295" verticalDpi="4294967295" scale="100" fitToWidth="1" fitToHeight="0" firstPageNumber="1" useFirstPageNumber="1" copies="1"/>
  <headerFooter>
    <oddHeader>&amp;L&amp;"Calibri,Bold"&amp;12&amp;K047857CapturePilot &amp;K000000· Federal Lead Kit&amp;R&amp;"Calibri,Italic"&amp;10 09 Compliance Matrix</oddHeader>
    <oddFooter>&amp;Lcapturepilot.com&amp;C&amp;P of &amp;N&amp;RSection M Alignment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2"/>
  <sheetViews>
    <sheetView workbookViewId="0" showGridLines="0" zoomScale="100" zoomScaleNormal="100">
      <pane ySplit="5" topLeftCell="A6" activePane="bottomLeft" state="frozen"/>
      <selection pane="bottomLeft"/>
    </sheetView>
  </sheetViews>
  <sheetFormatPr defaultRowHeight="15" outlineLevelRow="0" outlineLevelCol="0" x14ac:dyDescent="55"/>
  <cols>
    <col min="1" max="1" width="16" customWidth="1"/>
    <col min="2" max="2" width="64" customWidth="1"/>
    <col min="3" max="3" width="14" customWidth="1"/>
    <col min="4" max="4" width="20" customWidth="1"/>
    <col min="5" max="5" width="14" customWidth="1"/>
    <col min="6" max="6" width="30" customWidth="1"/>
    <col min="7" max="7" width="12" customWidth="1"/>
  </cols>
  <sheetData>
    <row r="1" ht="36" customHeight="1" spans="1:6" x14ac:dyDescent="0.25">
      <c r="A1" s="1" t="s">
        <v>174</v>
      </c>
      <c r="B1" s="10"/>
      <c r="C1" s="10"/>
      <c r="D1" s="10"/>
      <c r="E1" s="10"/>
      <c r="F1" s="10"/>
    </row>
    <row r="2" ht="26" customHeight="1" spans="1:6" x14ac:dyDescent="0.25">
      <c r="A2" s="2" t="s">
        <v>175</v>
      </c>
      <c r="B2" s="10"/>
      <c r="C2" s="10"/>
      <c r="D2" s="10"/>
      <c r="E2" s="10"/>
      <c r="F2" s="10"/>
    </row>
    <row r="3" ht="22" customHeight="1" spans="1:6" x14ac:dyDescent="0.25">
      <c r="A3" s="5" t="s">
        <v>176</v>
      </c>
      <c r="B3" s="10"/>
      <c r="C3" s="21" t="s">
        <v>177</v>
      </c>
      <c r="D3" s="21" t="s">
        <v>178</v>
      </c>
      <c r="E3" s="21" t="s">
        <v>179</v>
      </c>
      <c r="F3" s="21" t="s">
        <v>180</v>
      </c>
    </row>
    <row r="4" ht="24" customHeight="1" spans="1:6" x14ac:dyDescent="0.25">
      <c r="A4" s="27" t="s">
        <v>181</v>
      </c>
      <c r="B4" s="10"/>
      <c r="C4" s="18">
        <f>COUNTIF(C6:C60,"Pass")</f>
      </c>
      <c r="D4" s="18">
        <f>COUNTIF(C6:C60,"Fail")</f>
      </c>
      <c r="E4" s="18">
        <f>COUNTIF(C6:C60,"N/A")</f>
      </c>
      <c r="F4" s="18">
        <f>IF(D4&gt;0,"NO-GO: fix Fails",IF(C4+E4=0,"Not started",IF(C4+E4&gt;=COUNTA(B6:B60),"GO","Working")))</f>
      </c>
    </row>
    <row r="5" ht="28" customHeight="1" spans="1:7" x14ac:dyDescent="0.25">
      <c r="A5" s="21" t="s">
        <v>182</v>
      </c>
      <c r="B5" s="21" t="s">
        <v>183</v>
      </c>
      <c r="C5" s="21" t="s">
        <v>184</v>
      </c>
      <c r="D5" s="21" t="s">
        <v>185</v>
      </c>
      <c r="E5" s="21" t="s">
        <v>186</v>
      </c>
      <c r="F5" s="21" t="s">
        <v>187</v>
      </c>
      <c r="G5" s="21" t="s">
        <v>53</v>
      </c>
    </row>
    <row r="6" ht="22" customHeight="1" spans="1:7" x14ac:dyDescent="0.25">
      <c r="A6" s="22" t="s">
        <v>188</v>
      </c>
      <c r="B6" s="10"/>
      <c r="C6" s="23"/>
      <c r="D6" s="23"/>
      <c r="E6" s="23"/>
      <c r="F6" s="23"/>
      <c r="G6" s="25" t="b">
        <v>0</v>
      </c>
    </row>
    <row r="7" ht="28" customHeight="1" spans="1:7" x14ac:dyDescent="0.25">
      <c r="A7" s="14" t="s">
        <v>189</v>
      </c>
      <c r="B7" s="7" t="s">
        <v>190</v>
      </c>
      <c r="C7" s="24" t="s">
        <v>34</v>
      </c>
      <c r="D7" s="24" t="s">
        <v>34</v>
      </c>
      <c r="E7" s="24" t="s">
        <v>34</v>
      </c>
      <c r="F7" s="7" t="s">
        <v>34</v>
      </c>
      <c r="G7" s="25" t="b">
        <v>0</v>
      </c>
    </row>
    <row r="8" ht="28" customHeight="1" spans="1:7" x14ac:dyDescent="0.25">
      <c r="A8" s="14" t="s">
        <v>189</v>
      </c>
      <c r="B8" s="7" t="s">
        <v>191</v>
      </c>
      <c r="C8" s="24" t="s">
        <v>34</v>
      </c>
      <c r="D8" s="24" t="s">
        <v>34</v>
      </c>
      <c r="E8" s="24" t="s">
        <v>34</v>
      </c>
      <c r="F8" s="7" t="s">
        <v>34</v>
      </c>
      <c r="G8" s="25" t="b">
        <v>0</v>
      </c>
    </row>
    <row r="9" ht="22" customHeight="1" spans="1:7" x14ac:dyDescent="0.25">
      <c r="A9" s="22" t="s">
        <v>192</v>
      </c>
      <c r="B9" s="10"/>
      <c r="C9" s="23"/>
      <c r="D9" s="23"/>
      <c r="E9" s="23"/>
      <c r="F9" s="23"/>
      <c r="G9" s="25" t="b">
        <v>0</v>
      </c>
    </row>
    <row r="10" ht="28" customHeight="1" spans="1:7" x14ac:dyDescent="0.25">
      <c r="A10" s="14" t="s">
        <v>193</v>
      </c>
      <c r="B10" s="7" t="s">
        <v>194</v>
      </c>
      <c r="C10" s="24" t="s">
        <v>34</v>
      </c>
      <c r="D10" s="24" t="s">
        <v>34</v>
      </c>
      <c r="E10" s="24" t="s">
        <v>34</v>
      </c>
      <c r="F10" s="7" t="s">
        <v>34</v>
      </c>
      <c r="G10" s="25" t="b">
        <v>0</v>
      </c>
    </row>
    <row r="11" ht="28" customHeight="1" spans="1:7" x14ac:dyDescent="0.25">
      <c r="A11" s="14" t="s">
        <v>193</v>
      </c>
      <c r="B11" s="7" t="s">
        <v>195</v>
      </c>
      <c r="C11" s="24" t="s">
        <v>34</v>
      </c>
      <c r="D11" s="24" t="s">
        <v>34</v>
      </c>
      <c r="E11" s="24" t="s">
        <v>34</v>
      </c>
      <c r="F11" s="7" t="s">
        <v>34</v>
      </c>
      <c r="G11" s="25" t="b">
        <v>0</v>
      </c>
    </row>
    <row r="12" ht="28" customHeight="1" spans="1:7" x14ac:dyDescent="0.25">
      <c r="A12" s="14" t="s">
        <v>193</v>
      </c>
      <c r="B12" s="7" t="s">
        <v>196</v>
      </c>
      <c r="C12" s="24" t="s">
        <v>34</v>
      </c>
      <c r="D12" s="24" t="s">
        <v>34</v>
      </c>
      <c r="E12" s="24" t="s">
        <v>34</v>
      </c>
      <c r="F12" s="7" t="s">
        <v>34</v>
      </c>
      <c r="G12" s="25" t="b">
        <v>0</v>
      </c>
    </row>
    <row r="13" ht="28" customHeight="1" spans="1:7" x14ac:dyDescent="0.25">
      <c r="A13" s="14" t="s">
        <v>193</v>
      </c>
      <c r="B13" s="7" t="s">
        <v>197</v>
      </c>
      <c r="C13" s="24" t="s">
        <v>34</v>
      </c>
      <c r="D13" s="24" t="s">
        <v>34</v>
      </c>
      <c r="E13" s="24" t="s">
        <v>34</v>
      </c>
      <c r="F13" s="7" t="s">
        <v>34</v>
      </c>
      <c r="G13" s="25" t="b">
        <v>0</v>
      </c>
    </row>
    <row r="14" ht="22" customHeight="1" spans="1:7" x14ac:dyDescent="0.25">
      <c r="A14" s="22" t="s">
        <v>198</v>
      </c>
      <c r="B14" s="10"/>
      <c r="C14" s="23"/>
      <c r="D14" s="23"/>
      <c r="E14" s="23"/>
      <c r="F14" s="23"/>
      <c r="G14" s="25" t="b">
        <v>0</v>
      </c>
    </row>
    <row r="15" ht="28" customHeight="1" spans="1:7" x14ac:dyDescent="0.25">
      <c r="A15" s="14" t="s">
        <v>199</v>
      </c>
      <c r="B15" s="7" t="s">
        <v>200</v>
      </c>
      <c r="C15" s="24" t="s">
        <v>34</v>
      </c>
      <c r="D15" s="24" t="s">
        <v>34</v>
      </c>
      <c r="E15" s="24" t="s">
        <v>34</v>
      </c>
      <c r="F15" s="7" t="s">
        <v>34</v>
      </c>
      <c r="G15" s="25" t="b">
        <v>0</v>
      </c>
    </row>
    <row r="16" ht="28" customHeight="1" spans="1:7" x14ac:dyDescent="0.25">
      <c r="A16" s="14" t="s">
        <v>199</v>
      </c>
      <c r="B16" s="7" t="s">
        <v>201</v>
      </c>
      <c r="C16" s="24" t="s">
        <v>34</v>
      </c>
      <c r="D16" s="24" t="s">
        <v>34</v>
      </c>
      <c r="E16" s="24" t="s">
        <v>34</v>
      </c>
      <c r="F16" s="7" t="s">
        <v>34</v>
      </c>
      <c r="G16" s="25" t="b">
        <v>0</v>
      </c>
    </row>
    <row r="17" ht="22" customHeight="1" spans="1:7" x14ac:dyDescent="0.25">
      <c r="A17" s="22" t="s">
        <v>202</v>
      </c>
      <c r="B17" s="10"/>
      <c r="C17" s="23"/>
      <c r="D17" s="23"/>
      <c r="E17" s="23"/>
      <c r="F17" s="23"/>
      <c r="G17" s="25" t="b">
        <v>0</v>
      </c>
    </row>
    <row r="18" ht="28" customHeight="1" spans="1:7" x14ac:dyDescent="0.25">
      <c r="A18" s="14" t="s">
        <v>203</v>
      </c>
      <c r="B18" s="7" t="s">
        <v>204</v>
      </c>
      <c r="C18" s="24" t="s">
        <v>34</v>
      </c>
      <c r="D18" s="24" t="s">
        <v>34</v>
      </c>
      <c r="E18" s="24" t="s">
        <v>34</v>
      </c>
      <c r="F18" s="7" t="s">
        <v>34</v>
      </c>
      <c r="G18" s="25" t="b">
        <v>0</v>
      </c>
    </row>
    <row r="19" ht="22" customHeight="1" spans="1:7" x14ac:dyDescent="0.25">
      <c r="A19" s="22" t="s">
        <v>205</v>
      </c>
      <c r="B19" s="10"/>
      <c r="C19" s="23"/>
      <c r="D19" s="23"/>
      <c r="E19" s="23"/>
      <c r="F19" s="23"/>
      <c r="G19" s="25" t="b">
        <v>0</v>
      </c>
    </row>
    <row r="20" ht="28" customHeight="1" spans="1:7" x14ac:dyDescent="0.25">
      <c r="A20" s="14" t="s">
        <v>206</v>
      </c>
      <c r="B20" s="7" t="s">
        <v>207</v>
      </c>
      <c r="C20" s="24" t="s">
        <v>34</v>
      </c>
      <c r="D20" s="24" t="s">
        <v>34</v>
      </c>
      <c r="E20" s="24" t="s">
        <v>34</v>
      </c>
      <c r="F20" s="7" t="s">
        <v>34</v>
      </c>
      <c r="G20" s="25" t="b">
        <v>0</v>
      </c>
    </row>
    <row r="21" ht="28" customHeight="1" spans="1:7" x14ac:dyDescent="0.25">
      <c r="A21" s="14" t="s">
        <v>206</v>
      </c>
      <c r="B21" s="7" t="s">
        <v>208</v>
      </c>
      <c r="C21" s="24" t="s">
        <v>34</v>
      </c>
      <c r="D21" s="24" t="s">
        <v>34</v>
      </c>
      <c r="E21" s="24" t="s">
        <v>34</v>
      </c>
      <c r="F21" s="7" t="s">
        <v>34</v>
      </c>
      <c r="G21" s="25" t="b">
        <v>0</v>
      </c>
    </row>
    <row r="22" ht="28" customHeight="1" spans="1:7" x14ac:dyDescent="0.25">
      <c r="A22" s="14" t="s">
        <v>206</v>
      </c>
      <c r="B22" s="7" t="s">
        <v>209</v>
      </c>
      <c r="C22" s="24" t="s">
        <v>34</v>
      </c>
      <c r="D22" s="24" t="s">
        <v>34</v>
      </c>
      <c r="E22" s="24" t="s">
        <v>34</v>
      </c>
      <c r="F22" s="7" t="s">
        <v>34</v>
      </c>
      <c r="G22" s="25" t="b">
        <v>0</v>
      </c>
    </row>
    <row r="23" ht="28" customHeight="1" spans="1:7" x14ac:dyDescent="0.25">
      <c r="A23" s="14" t="s">
        <v>206</v>
      </c>
      <c r="B23" s="7" t="s">
        <v>210</v>
      </c>
      <c r="C23" s="24" t="s">
        <v>34</v>
      </c>
      <c r="D23" s="24" t="s">
        <v>34</v>
      </c>
      <c r="E23" s="24" t="s">
        <v>34</v>
      </c>
      <c r="F23" s="7" t="s">
        <v>34</v>
      </c>
      <c r="G23" s="25" t="b">
        <v>0</v>
      </c>
    </row>
    <row r="24" ht="22" customHeight="1" spans="1:7" x14ac:dyDescent="0.25">
      <c r="A24" s="22" t="s">
        <v>211</v>
      </c>
      <c r="B24" s="10"/>
      <c r="C24" s="23"/>
      <c r="D24" s="23"/>
      <c r="E24" s="23"/>
      <c r="F24" s="23"/>
      <c r="G24" s="25" t="b">
        <v>0</v>
      </c>
    </row>
    <row r="25" ht="28" customHeight="1" spans="1:7" x14ac:dyDescent="0.25">
      <c r="A25" s="14" t="s">
        <v>212</v>
      </c>
      <c r="B25" s="7" t="s">
        <v>213</v>
      </c>
      <c r="C25" s="24" t="s">
        <v>34</v>
      </c>
      <c r="D25" s="24" t="s">
        <v>34</v>
      </c>
      <c r="E25" s="24" t="s">
        <v>34</v>
      </c>
      <c r="F25" s="7" t="s">
        <v>34</v>
      </c>
      <c r="G25" s="25" t="b">
        <v>0</v>
      </c>
    </row>
    <row r="26" ht="28" customHeight="1" spans="1:7" x14ac:dyDescent="0.25">
      <c r="A26" s="14" t="s">
        <v>212</v>
      </c>
      <c r="B26" s="7" t="s">
        <v>214</v>
      </c>
      <c r="C26" s="24" t="s">
        <v>34</v>
      </c>
      <c r="D26" s="24" t="s">
        <v>34</v>
      </c>
      <c r="E26" s="24" t="s">
        <v>34</v>
      </c>
      <c r="F26" s="7" t="s">
        <v>34</v>
      </c>
      <c r="G26" s="25" t="b">
        <v>0</v>
      </c>
    </row>
    <row r="27" ht="28" customHeight="1" spans="1:7" x14ac:dyDescent="0.25">
      <c r="A27" s="14" t="s">
        <v>212</v>
      </c>
      <c r="B27" s="7" t="s">
        <v>215</v>
      </c>
      <c r="C27" s="24" t="s">
        <v>34</v>
      </c>
      <c r="D27" s="24" t="s">
        <v>34</v>
      </c>
      <c r="E27" s="24" t="s">
        <v>34</v>
      </c>
      <c r="F27" s="7" t="s">
        <v>34</v>
      </c>
      <c r="G27" s="25" t="b">
        <v>0</v>
      </c>
    </row>
    <row r="28" ht="28" customHeight="1" spans="1:7" x14ac:dyDescent="0.25">
      <c r="A28" s="14" t="s">
        <v>212</v>
      </c>
      <c r="B28" s="7" t="s">
        <v>216</v>
      </c>
      <c r="C28" s="24" t="s">
        <v>34</v>
      </c>
      <c r="D28" s="24" t="s">
        <v>34</v>
      </c>
      <c r="E28" s="24" t="s">
        <v>34</v>
      </c>
      <c r="F28" s="7" t="s">
        <v>34</v>
      </c>
      <c r="G28" s="25" t="b">
        <v>0</v>
      </c>
    </row>
    <row r="29" ht="22" customHeight="1" spans="1:7" x14ac:dyDescent="0.25">
      <c r="A29" s="22" t="s">
        <v>217</v>
      </c>
      <c r="B29" s="10"/>
      <c r="C29" s="23"/>
      <c r="D29" s="23"/>
      <c r="E29" s="23"/>
      <c r="F29" s="23"/>
      <c r="G29" s="25" t="b">
        <v>0</v>
      </c>
    </row>
    <row r="30" ht="28" customHeight="1" spans="1:7" x14ac:dyDescent="0.25">
      <c r="A30" s="14" t="s">
        <v>218</v>
      </c>
      <c r="B30" s="7" t="s">
        <v>219</v>
      </c>
      <c r="C30" s="24" t="s">
        <v>34</v>
      </c>
      <c r="D30" s="24" t="s">
        <v>34</v>
      </c>
      <c r="E30" s="24" t="s">
        <v>34</v>
      </c>
      <c r="F30" s="7" t="s">
        <v>34</v>
      </c>
      <c r="G30" s="25" t="b">
        <v>0</v>
      </c>
    </row>
    <row r="31" ht="28" customHeight="1" spans="1:7" x14ac:dyDescent="0.25">
      <c r="A31" s="14" t="s">
        <v>218</v>
      </c>
      <c r="B31" s="7" t="s">
        <v>220</v>
      </c>
      <c r="C31" s="24" t="s">
        <v>34</v>
      </c>
      <c r="D31" s="24" t="s">
        <v>34</v>
      </c>
      <c r="E31" s="24" t="s">
        <v>34</v>
      </c>
      <c r="F31" s="7" t="s">
        <v>34</v>
      </c>
      <c r="G31" s="25" t="b">
        <v>0</v>
      </c>
    </row>
    <row r="32" ht="28" customHeight="1" spans="1:7" x14ac:dyDescent="0.25">
      <c r="A32" s="14" t="s">
        <v>218</v>
      </c>
      <c r="B32" s="7" t="s">
        <v>221</v>
      </c>
      <c r="C32" s="24" t="s">
        <v>34</v>
      </c>
      <c r="D32" s="24" t="s">
        <v>34</v>
      </c>
      <c r="E32" s="24" t="s">
        <v>34</v>
      </c>
      <c r="F32" s="7" t="s">
        <v>34</v>
      </c>
      <c r="G32" s="25" t="b">
        <v>0</v>
      </c>
    </row>
    <row r="33" ht="28" customHeight="1" spans="1:7" x14ac:dyDescent="0.25">
      <c r="A33" s="14" t="s">
        <v>218</v>
      </c>
      <c r="B33" s="7" t="s">
        <v>222</v>
      </c>
      <c r="C33" s="24" t="s">
        <v>34</v>
      </c>
      <c r="D33" s="24" t="s">
        <v>34</v>
      </c>
      <c r="E33" s="24" t="s">
        <v>34</v>
      </c>
      <c r="F33" s="7" t="s">
        <v>34</v>
      </c>
      <c r="G33" s="25" t="b">
        <v>0</v>
      </c>
    </row>
    <row r="34" ht="28" customHeight="1" spans="1:7" x14ac:dyDescent="0.25">
      <c r="A34" s="14" t="s">
        <v>218</v>
      </c>
      <c r="B34" s="7" t="s">
        <v>223</v>
      </c>
      <c r="C34" s="24" t="s">
        <v>34</v>
      </c>
      <c r="D34" s="24" t="s">
        <v>34</v>
      </c>
      <c r="E34" s="24" t="s">
        <v>34</v>
      </c>
      <c r="F34" s="7" t="s">
        <v>34</v>
      </c>
      <c r="G34" s="25" t="b">
        <v>0</v>
      </c>
    </row>
    <row r="35" ht="28" customHeight="1" spans="1:7" x14ac:dyDescent="0.25">
      <c r="A35" s="14" t="s">
        <v>218</v>
      </c>
      <c r="B35" s="7" t="s">
        <v>224</v>
      </c>
      <c r="C35" s="24" t="s">
        <v>34</v>
      </c>
      <c r="D35" s="24" t="s">
        <v>34</v>
      </c>
      <c r="E35" s="24" t="s">
        <v>34</v>
      </c>
      <c r="F35" s="7" t="s">
        <v>34</v>
      </c>
      <c r="G35" s="25" t="b">
        <v>0</v>
      </c>
    </row>
    <row r="36" ht="22" customHeight="1" spans="1:7" x14ac:dyDescent="0.25">
      <c r="A36" s="22" t="s">
        <v>225</v>
      </c>
      <c r="B36" s="10"/>
      <c r="C36" s="23"/>
      <c r="D36" s="23"/>
      <c r="E36" s="23"/>
      <c r="F36" s="23"/>
      <c r="G36" s="25" t="b">
        <v>0</v>
      </c>
    </row>
    <row r="37" ht="28" customHeight="1" spans="1:7" x14ac:dyDescent="0.25">
      <c r="A37" s="14" t="s">
        <v>226</v>
      </c>
      <c r="B37" s="7" t="s">
        <v>227</v>
      </c>
      <c r="C37" s="24" t="s">
        <v>34</v>
      </c>
      <c r="D37" s="24" t="s">
        <v>34</v>
      </c>
      <c r="E37" s="24" t="s">
        <v>34</v>
      </c>
      <c r="F37" s="7" t="s">
        <v>34</v>
      </c>
      <c r="G37" s="25" t="b">
        <v>0</v>
      </c>
    </row>
    <row r="38" ht="28" customHeight="1" spans="1:7" x14ac:dyDescent="0.25">
      <c r="A38" s="14" t="s">
        <v>226</v>
      </c>
      <c r="B38" s="7" t="s">
        <v>228</v>
      </c>
      <c r="C38" s="24" t="s">
        <v>34</v>
      </c>
      <c r="D38" s="24" t="s">
        <v>34</v>
      </c>
      <c r="E38" s="24" t="s">
        <v>34</v>
      </c>
      <c r="F38" s="7" t="s">
        <v>34</v>
      </c>
      <c r="G38" s="25" t="b">
        <v>0</v>
      </c>
    </row>
    <row r="39" ht="28" customHeight="1" spans="1:7" x14ac:dyDescent="0.25">
      <c r="A39" s="14" t="s">
        <v>226</v>
      </c>
      <c r="B39" s="7" t="s">
        <v>229</v>
      </c>
      <c r="C39" s="24" t="s">
        <v>34</v>
      </c>
      <c r="D39" s="24" t="s">
        <v>34</v>
      </c>
      <c r="E39" s="24" t="s">
        <v>34</v>
      </c>
      <c r="F39" s="7" t="s">
        <v>34</v>
      </c>
      <c r="G39" s="25" t="b">
        <v>0</v>
      </c>
    </row>
    <row r="40" ht="28" customHeight="1" spans="1:7" x14ac:dyDescent="0.25">
      <c r="A40" s="14" t="s">
        <v>226</v>
      </c>
      <c r="B40" s="7" t="s">
        <v>230</v>
      </c>
      <c r="C40" s="24" t="s">
        <v>34</v>
      </c>
      <c r="D40" s="24" t="s">
        <v>34</v>
      </c>
      <c r="E40" s="24" t="s">
        <v>34</v>
      </c>
      <c r="F40" s="7" t="s">
        <v>34</v>
      </c>
      <c r="G40" s="25" t="b">
        <v>0</v>
      </c>
    </row>
    <row r="41" ht="24" customHeight="1" spans="1:7" x14ac:dyDescent="0.25">
      <c r="A41" s="14"/>
      <c r="B41" s="7"/>
      <c r="C41" s="24"/>
      <c r="D41" s="24"/>
      <c r="E41" s="24"/>
      <c r="F41" s="7"/>
      <c r="G41" s="25" t="b">
        <v>0</v>
      </c>
    </row>
    <row r="42" ht="24" customHeight="1" spans="1:7" x14ac:dyDescent="0.25">
      <c r="A42" s="14"/>
      <c r="B42" s="7"/>
      <c r="C42" s="24"/>
      <c r="D42" s="24"/>
      <c r="E42" s="24"/>
      <c r="F42" s="7"/>
      <c r="G42" s="25" t="b">
        <v>0</v>
      </c>
    </row>
    <row r="43" ht="24" customHeight="1" spans="1:7" x14ac:dyDescent="0.25">
      <c r="A43" s="14"/>
      <c r="B43" s="7"/>
      <c r="C43" s="24"/>
      <c r="D43" s="24"/>
      <c r="E43" s="24"/>
      <c r="F43" s="7"/>
      <c r="G43" s="25" t="b">
        <v>0</v>
      </c>
    </row>
    <row r="44" ht="24" customHeight="1" spans="1:7" x14ac:dyDescent="0.25">
      <c r="A44" s="14"/>
      <c r="B44" s="7"/>
      <c r="C44" s="24"/>
      <c r="D44" s="24"/>
      <c r="E44" s="24"/>
      <c r="F44" s="7"/>
      <c r="G44" s="25" t="b">
        <v>0</v>
      </c>
    </row>
    <row r="45" ht="24" customHeight="1" spans="1:7" x14ac:dyDescent="0.25">
      <c r="A45" s="14"/>
      <c r="B45" s="7"/>
      <c r="C45" s="24"/>
      <c r="D45" s="24"/>
      <c r="E45" s="24"/>
      <c r="F45" s="7"/>
      <c r="G45" s="25" t="b">
        <v>0</v>
      </c>
    </row>
    <row r="46" ht="24" customHeight="1" spans="1:7" x14ac:dyDescent="0.25">
      <c r="A46" s="14"/>
      <c r="B46" s="7"/>
      <c r="C46" s="24"/>
      <c r="D46" s="24"/>
      <c r="E46" s="24"/>
      <c r="F46" s="7"/>
      <c r="G46" s="25" t="b">
        <v>0</v>
      </c>
    </row>
    <row r="47" ht="24" customHeight="1" spans="1:7" x14ac:dyDescent="0.25">
      <c r="A47" s="14"/>
      <c r="B47" s="7"/>
      <c r="C47" s="24"/>
      <c r="D47" s="24"/>
      <c r="E47" s="24"/>
      <c r="F47" s="7"/>
      <c r="G47" s="25" t="b">
        <v>0</v>
      </c>
    </row>
    <row r="48" ht="24" customHeight="1" spans="1:7" x14ac:dyDescent="0.25">
      <c r="A48" s="14"/>
      <c r="B48" s="7"/>
      <c r="C48" s="24"/>
      <c r="D48" s="24"/>
      <c r="E48" s="24"/>
      <c r="F48" s="7"/>
      <c r="G48" s="25" t="b">
        <v>0</v>
      </c>
    </row>
    <row r="49" ht="24" customHeight="1" spans="1:7" x14ac:dyDescent="0.25">
      <c r="A49" s="14"/>
      <c r="B49" s="7"/>
      <c r="C49" s="24"/>
      <c r="D49" s="24"/>
      <c r="E49" s="24"/>
      <c r="F49" s="7"/>
      <c r="G49" s="25" t="b">
        <v>0</v>
      </c>
    </row>
    <row r="50" ht="24" customHeight="1" spans="1:7" x14ac:dyDescent="0.25">
      <c r="A50" s="14"/>
      <c r="B50" s="7"/>
      <c r="C50" s="24"/>
      <c r="D50" s="24"/>
      <c r="E50" s="24"/>
      <c r="F50" s="7"/>
      <c r="G50" s="25" t="b">
        <v>0</v>
      </c>
    </row>
    <row r="51" ht="24" customHeight="1" spans="1:7" x14ac:dyDescent="0.25">
      <c r="A51" s="14"/>
      <c r="B51" s="7"/>
      <c r="C51" s="24"/>
      <c r="D51" s="24"/>
      <c r="E51" s="24"/>
      <c r="F51" s="7"/>
      <c r="G51" s="25" t="b">
        <v>0</v>
      </c>
    </row>
    <row r="52" ht="24" customHeight="1" spans="1:7" x14ac:dyDescent="0.25">
      <c r="A52" s="14"/>
      <c r="B52" s="7"/>
      <c r="C52" s="24"/>
      <c r="D52" s="24"/>
      <c r="E52" s="24"/>
      <c r="F52" s="7"/>
      <c r="G52" s="25" t="b">
        <v>0</v>
      </c>
    </row>
    <row r="53" ht="24" customHeight="1" spans="1:7" x14ac:dyDescent="0.25">
      <c r="A53" s="14"/>
      <c r="B53" s="7"/>
      <c r="C53" s="24"/>
      <c r="D53" s="24"/>
      <c r="E53" s="24"/>
      <c r="F53" s="7"/>
      <c r="G53" s="25" t="b">
        <v>0</v>
      </c>
    </row>
    <row r="54" ht="24" customHeight="1" spans="1:7" x14ac:dyDescent="0.25">
      <c r="A54" s="14"/>
      <c r="B54" s="7"/>
      <c r="C54" s="24"/>
      <c r="D54" s="24"/>
      <c r="E54" s="24"/>
      <c r="F54" s="7"/>
      <c r="G54" s="25" t="b">
        <v>0</v>
      </c>
    </row>
    <row r="55" ht="24" customHeight="1" spans="1:7" x14ac:dyDescent="0.25">
      <c r="A55" s="14"/>
      <c r="B55" s="7"/>
      <c r="C55" s="24"/>
      <c r="D55" s="24"/>
      <c r="E55" s="24"/>
      <c r="F55" s="7"/>
      <c r="G55" s="25" t="b">
        <v>0</v>
      </c>
    </row>
    <row r="56" ht="24" customHeight="1" spans="1:7" x14ac:dyDescent="0.25">
      <c r="A56" s="14"/>
      <c r="B56" s="7"/>
      <c r="C56" s="24"/>
      <c r="D56" s="24"/>
      <c r="E56" s="24"/>
      <c r="F56" s="7"/>
      <c r="G56" s="25" t="b">
        <v>0</v>
      </c>
    </row>
    <row r="57" ht="24" customHeight="1" spans="1:7" x14ac:dyDescent="0.25">
      <c r="A57" s="14"/>
      <c r="B57" s="7"/>
      <c r="C57" s="24"/>
      <c r="D57" s="24"/>
      <c r="E57" s="24"/>
      <c r="F57" s="7"/>
      <c r="G57" s="25" t="b">
        <v>0</v>
      </c>
    </row>
    <row r="58" ht="24" customHeight="1" spans="1:7" x14ac:dyDescent="0.25">
      <c r="A58" s="14"/>
      <c r="B58" s="7"/>
      <c r="C58" s="24"/>
      <c r="D58" s="24"/>
      <c r="E58" s="24"/>
      <c r="F58" s="7"/>
      <c r="G58" s="25" t="b">
        <v>0</v>
      </c>
    </row>
    <row r="59" ht="24" customHeight="1" spans="1:7" x14ac:dyDescent="0.25">
      <c r="A59" s="14"/>
      <c r="B59" s="7"/>
      <c r="C59" s="24"/>
      <c r="D59" s="24"/>
      <c r="E59" s="24"/>
      <c r="F59" s="7"/>
      <c r="G59" s="25" t="b">
        <v>0</v>
      </c>
    </row>
    <row r="60" ht="24" customHeight="1" spans="1:7" x14ac:dyDescent="0.25">
      <c r="A60" s="14"/>
      <c r="B60" s="7"/>
      <c r="C60" s="24"/>
      <c r="D60" s="24"/>
      <c r="E60" s="24"/>
      <c r="F60" s="7"/>
      <c r="G60" s="25" t="b">
        <v>0</v>
      </c>
    </row>
    <row r="61" ht="36" customHeight="1" spans="1:7" x14ac:dyDescent="0.25">
      <c r="A61" s="20" t="s">
        <v>42</v>
      </c>
      <c r="B61" s="20"/>
      <c r="C61" s="20"/>
      <c r="D61" s="20"/>
      <c r="E61" s="20"/>
      <c r="F61" s="20"/>
      <c r="G61" s="20"/>
    </row>
    <row r="62" ht="44" customHeight="1" spans="1:6" x14ac:dyDescent="0.25">
      <c r="A62" s="33" t="s">
        <v>231</v>
      </c>
      <c r="B62" s="10"/>
      <c r="C62" s="10"/>
      <c r="D62" s="10"/>
      <c r="E62" s="10"/>
      <c r="F62" s="10"/>
    </row>
  </sheetData>
  <sheetProtection sheet="1" formatCells="0" formatColumns="0" formatRows="0" sort="0" autoFilter="0"/>
  <mergeCells count="14">
    <mergeCell ref="A1:F1"/>
    <mergeCell ref="A2:F2"/>
    <mergeCell ref="A3:B3"/>
    <mergeCell ref="A4:B4"/>
    <mergeCell ref="A6:F6"/>
    <mergeCell ref="A9:F9"/>
    <mergeCell ref="A14:F14"/>
    <mergeCell ref="A17:F17"/>
    <mergeCell ref="A19:F19"/>
    <mergeCell ref="A24:F24"/>
    <mergeCell ref="A29:F29"/>
    <mergeCell ref="A36:F36"/>
    <mergeCell ref="A61:G61"/>
    <mergeCell ref="A62:F62"/>
  </mergeCells>
  <conditionalFormatting sqref="C6:C60">
    <cfRule type="containsText" dxfId="28" priority="1">
      <formula>NOT(ISERROR(SEARCH("Pass",C6)))</formula>
    </cfRule>
    <cfRule type="containsText" dxfId="29" priority="2">
      <formula>NOT(ISERROR(SEARCH("Fail",C6)))</formula>
    </cfRule>
    <cfRule type="containsText" dxfId="30" priority="3">
      <formula>NOT(ISERROR(SEARCH("N/A",C6)))</formula>
    </cfRule>
  </conditionalFormatting>
  <conditionalFormatting sqref="G6:G60">
    <cfRule type="cellIs" dxfId="31" priority="1" operator="equal">
      <formula>TRUE</formula>
    </cfRule>
  </conditionalFormatting>
  <conditionalFormatting sqref="B6:B60">
    <cfRule type="expression" dxfId="32" priority="1">
      <formula>$G6=TRUE</formula>
    </cfRule>
  </conditionalFormatting>
  <conditionalFormatting sqref="G6:G60">
    <cfRule type="cellIs" dxfId="33" priority="1" operator="equal">
      <formula>TRUE</formula>
    </cfRule>
  </conditionalFormatting>
  <conditionalFormatting sqref="B6:B60">
    <cfRule type="expression" dxfId="34" priority="1">
      <formula>$G6=TRUE</formula>
    </cfRule>
  </conditionalFormatting>
  <dataValidations count="4">
    <dataValidation type="list" allowBlank="1" sqref="C10:C60">
      <formula1>"Pass,Fail,N/A"</formula1>
    </dataValidation>
    <dataValidation type="list" allowBlank="1" sqref="C6:C60">
      <formula1>"Pass,Fail,N/A"</formula1>
    </dataValidation>
    <dataValidation type="list" allowBlank="1" showErrorMessage="1" errorTitle="Boolean only" error="Use TRUE or FALSE. Google Sheets renders this as a checkbox automatically." sqref="G10:G60">
      <formula1>"TRUE,FALSE"</formula1>
    </dataValidation>
    <dataValidation type="list" allowBlank="1" showErrorMessage="1" errorTitle="Boolean only" error="Use TRUE or FALSE. Google Sheets renders this as a checkbox automatically." sqref="G6:G60">
      <formula1>"TRUE,FALSE"</formula1>
    </dataValidation>
  </dataValidations>
  <printOptions horizontalCentered="1"/>
  <pageMargins left="0.4" right="0.4" top="0.6" bottom="0.6" header="0.3" footer="0.3"/>
  <pageSetup paperSize="9" orientation="landscape" horizontalDpi="4294967295" verticalDpi="4294967295" scale="100" fitToWidth="1" fitToHeight="0" firstPageNumber="1" useFirstPageNumber="1" copies="1"/>
  <headerFooter>
    <oddHeader>&amp;L&amp;"Calibri,Bold"&amp;12&amp;K047857CapturePilot &amp;K000000· Federal Lead Kit&amp;R&amp;"Calibri,Italic"&amp;10 09 Compliance Matrix</oddHeader>
    <oddFooter>&amp;Lcapturepilot.com&amp;C&amp;P of &amp;N&amp;RSubmission Checklist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32"/>
  <sheetViews>
    <sheetView workbookViewId="0" showGridLines="0" zoomScale="100" zoomScaleNormal="100">
      <pane ySplit="4" topLeftCell="A5" activePane="bottomLeft" state="frozen"/>
      <selection pane="bottomLeft"/>
    </sheetView>
  </sheetViews>
  <sheetFormatPr defaultRowHeight="15" outlineLevelRow="0" outlineLevelCol="0" x14ac:dyDescent="55"/>
  <cols>
    <col min="1" max="1" width="4" customWidth="1"/>
    <col min="2" max="2" width="30" customWidth="1"/>
    <col min="3" max="3" width="80" customWidth="1"/>
  </cols>
  <sheetData>
    <row r="2" ht="38" customHeight="1" spans="2:3" x14ac:dyDescent="0.25">
      <c r="B2" s="1" t="s">
        <v>232</v>
      </c>
      <c r="C2"/>
    </row>
    <row r="3" ht="32" customHeight="1" spans="2:3" x14ac:dyDescent="0.25">
      <c r="B3" s="2" t="s">
        <v>233</v>
      </c>
      <c r="C3"/>
    </row>
    <row r="5" ht="24" customHeight="1" spans="2:3" x14ac:dyDescent="0.25">
      <c r="B5" s="3" t="s">
        <v>234</v>
      </c>
      <c r="C5"/>
    </row>
    <row r="6" ht="36" customHeight="1" spans="2:3" x14ac:dyDescent="0.25">
      <c r="B6" s="34" t="s">
        <v>235</v>
      </c>
      <c r="C6" s="4" t="s">
        <v>236</v>
      </c>
    </row>
    <row r="7" ht="90" customHeight="1" spans="2:3" x14ac:dyDescent="0.25">
      <c r="B7" s="34" t="s">
        <v>235</v>
      </c>
      <c r="C7" s="4" t="s">
        <v>237</v>
      </c>
    </row>
    <row r="8" ht="54" customHeight="1" spans="2:3" x14ac:dyDescent="0.25">
      <c r="B8" s="34" t="s">
        <v>235</v>
      </c>
      <c r="C8" s="4" t="s">
        <v>238</v>
      </c>
    </row>
    <row r="10" ht="24" customHeight="1" spans="2:3" x14ac:dyDescent="0.25">
      <c r="B10" s="3" t="s">
        <v>239</v>
      </c>
      <c r="C10"/>
    </row>
    <row r="11" ht="36" customHeight="1" spans="2:3" x14ac:dyDescent="0.25">
      <c r="B11" s="34" t="s">
        <v>235</v>
      </c>
      <c r="C11" s="4" t="s">
        <v>240</v>
      </c>
    </row>
    <row r="12" ht="72" customHeight="1" spans="2:3" x14ac:dyDescent="0.25">
      <c r="B12" s="34" t="s">
        <v>235</v>
      </c>
      <c r="C12" s="4" t="s">
        <v>241</v>
      </c>
    </row>
    <row r="13" ht="54" customHeight="1" spans="2:3" x14ac:dyDescent="0.25">
      <c r="B13" s="34" t="s">
        <v>235</v>
      </c>
      <c r="C13" s="4" t="s">
        <v>242</v>
      </c>
    </row>
    <row r="15" ht="24" customHeight="1" spans="2:3" x14ac:dyDescent="0.25">
      <c r="B15" s="3" t="s">
        <v>243</v>
      </c>
      <c r="C15"/>
    </row>
    <row r="16" ht="28" customHeight="1" spans="2:3" x14ac:dyDescent="0.25">
      <c r="B16" s="34" t="s">
        <v>235</v>
      </c>
      <c r="C16" s="4" t="s">
        <v>244</v>
      </c>
    </row>
    <row r="17" ht="28" customHeight="1" spans="2:3" x14ac:dyDescent="0.25">
      <c r="B17" s="34" t="s">
        <v>235</v>
      </c>
      <c r="C17" s="4" t="s">
        <v>245</v>
      </c>
    </row>
    <row r="18" ht="54" customHeight="1" spans="2:3" x14ac:dyDescent="0.25">
      <c r="B18" s="34" t="s">
        <v>235</v>
      </c>
      <c r="C18" s="4" t="s">
        <v>246</v>
      </c>
    </row>
    <row r="19" ht="36" customHeight="1" spans="2:3" x14ac:dyDescent="0.25">
      <c r="B19" s="34" t="s">
        <v>235</v>
      </c>
      <c r="C19" s="4" t="s">
        <v>247</v>
      </c>
    </row>
    <row r="21" ht="24" customHeight="1" spans="2:3" x14ac:dyDescent="0.25">
      <c r="B21" s="3" t="s">
        <v>248</v>
      </c>
      <c r="C21"/>
    </row>
    <row r="22" ht="54" customHeight="1" spans="2:3" x14ac:dyDescent="0.25">
      <c r="B22" s="34" t="s">
        <v>235</v>
      </c>
      <c r="C22" s="4" t="s">
        <v>249</v>
      </c>
    </row>
    <row r="23" ht="54" customHeight="1" spans="2:3" x14ac:dyDescent="0.25">
      <c r="B23" s="34" t="s">
        <v>235</v>
      </c>
      <c r="C23" s="4" t="s">
        <v>250</v>
      </c>
    </row>
    <row r="24" ht="54" customHeight="1" spans="2:3" x14ac:dyDescent="0.25">
      <c r="B24" s="34" t="s">
        <v>235</v>
      </c>
      <c r="C24" s="4" t="s">
        <v>251</v>
      </c>
    </row>
    <row r="25" ht="54" customHeight="1" spans="2:3" x14ac:dyDescent="0.25">
      <c r="B25" s="34" t="s">
        <v>235</v>
      </c>
      <c r="C25" s="4" t="s">
        <v>252</v>
      </c>
    </row>
    <row r="27" ht="24" customHeight="1" spans="2:3" x14ac:dyDescent="0.25">
      <c r="B27" s="3" t="s">
        <v>253</v>
      </c>
      <c r="C27"/>
    </row>
    <row r="28" ht="36" customHeight="1" spans="2:3" x14ac:dyDescent="0.25">
      <c r="B28" s="34" t="s">
        <v>235</v>
      </c>
      <c r="C28" s="4" t="s">
        <v>254</v>
      </c>
    </row>
    <row r="29" ht="54" customHeight="1" spans="2:3" x14ac:dyDescent="0.25">
      <c r="B29" s="34" t="s">
        <v>235</v>
      </c>
      <c r="C29" s="4" t="s">
        <v>255</v>
      </c>
    </row>
    <row r="30" ht="36" customHeight="1" spans="2:3" x14ac:dyDescent="0.25">
      <c r="B30" s="34" t="s">
        <v>235</v>
      </c>
      <c r="C30" s="4" t="s">
        <v>256</v>
      </c>
    </row>
    <row r="32" ht="80" customHeight="1" spans="2:3" x14ac:dyDescent="0.25">
      <c r="B32" s="9" t="s">
        <v>257</v>
      </c>
      <c r="C32"/>
    </row>
  </sheetData>
  <mergeCells count="8">
    <mergeCell ref="B2:C2"/>
    <mergeCell ref="B3:C3"/>
    <mergeCell ref="B5:C5"/>
    <mergeCell ref="B10:C10"/>
    <mergeCell ref="B15:C15"/>
    <mergeCell ref="B21:C21"/>
    <mergeCell ref="B27:C27"/>
    <mergeCell ref="B32:C32"/>
  </mergeCells>
  <printOptions horizontalCentered="1"/>
  <pageMargins left="0.4" right="0.4" top="0.6" bottom="0.6" header="0.3" footer="0.3"/>
  <pageSetup paperSize="9" orientation="landscape" horizontalDpi="4294967295" verticalDpi="4294967295" scale="100" fitToWidth="1" fitToHeight="0" firstPageNumber="1" useFirstPageNumber="1" copies="1"/>
  <headerFooter>
    <oddHeader>&amp;L&amp;"Calibri,Bold"&amp;12&amp;K047857CapturePilot &amp;K000000· Federal Lead Kit&amp;R&amp;"Calibri,Italic"&amp;10 09 Compliance Matrix</oddHeader>
    <oddFooter>&amp;Lcapturepilot.com&amp;C&amp;P of &amp;N&amp;RHelp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Section L Matrix</vt:lpstr>
      <vt:lpstr>Section M Alignment</vt:lpstr>
      <vt:lpstr>Submission Checklist</vt:lpstr>
      <vt:lpstr>Help</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Proposal Compliance Matrix Template</dc:title>
  <dc:subject>Federal Lead Kit — 09 Internal Best-Practice Library</dc:subject>
  <dc:description/>
  <cp:keywords/>
  <cp:category/>
  <cp:lastModifiedBy>CapturePilot</cp:lastModifiedBy>
  <dcterms:created xsi:type="dcterms:W3CDTF">2026-06-05T21:31:51Z</dcterms:created>
  <dcterms:modified xsi:type="dcterms:W3CDTF">2026-06-05T21:31:51Z</dcterms:modified>
</cp:coreProperties>
</file>