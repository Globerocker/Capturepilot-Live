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lf-Audit" state="visible" r:id="rId5"/>
    <sheet sheetId="3" name="Score Dashboard" state="visible" r:id="rId6"/>
    <sheet sheetId="4" name="Action Plan" state="visible" r:id="rId7"/>
    <sheet sheetId="5" name="Help &amp; Examples" state="visible" r:id="rId8"/>
  </sheets>
  <calcPr calcId="171027"/>
</workbook>
</file>

<file path=xl/sharedStrings.xml><?xml version="1.0" encoding="utf-8"?>
<sst xmlns="http://schemas.openxmlformats.org/spreadsheetml/2006/main" count="345" uniqueCount="207">
  <si>
    <t>CAPTURE MATURITY SELF-AUDIT — INSTRUCTIONS</t>
  </si>
  <si>
    <t>What this is</t>
  </si>
  <si>
    <t>A diagnostic for small federal contractors. Rate seven capture domains 0-4. The workbook calculates a weighted maturity score and tells you where to focus first.</t>
  </si>
  <si>
    <t>Time required</t>
  </si>
  <si>
    <t>About 25 to 40 minutes if you're honest. Most founders try to rush it and end up grading themselves 3s across the board. Don't.</t>
  </si>
  <si>
    <t>How to use it</t>
  </si>
  <si>
    <t>1) Open the Self-Audit tab. 2) Pick a score 0-4 for every practice using the dropdown. 3) Check the Score Dashboard for your weighted total and tier. 4) Open Action Plan and start working the items the dashboard flagged red.</t>
  </si>
  <si>
    <t>Scoring rubric</t>
  </si>
  <si>
    <t>0 = Not in place. 1 = We know we should, we don't. 2 = Partially in place, inconsistent. 3 = Consistently doing it. 4 = Documented, repeatable, you could show evidence in a DCAA audit or due diligence review.</t>
  </si>
  <si>
    <t>When to retake it</t>
  </si>
  <si>
    <t>Quarterly is the sweet spot. Re-score before each color review or before submitting a major proposal. Track movement — a stuck '2' across two quarters means you have a process problem, not a knowledge problem.</t>
  </si>
  <si>
    <t>Who fills it out</t>
  </si>
  <si>
    <t>Founder plus capture/BD lead, separately. Compare answers. If you score yourself 4 on Past Performance and your BD lead scores 1, that gap is the story.</t>
  </si>
  <si>
    <t>What 'Best practice' actually means</t>
  </si>
  <si>
    <t>A '4' is rare. If you have to think hard about whether you've ever done the thing, you're at 2. If you do it but it lives in one person's head, that's a 3. A 4 has a written SOP, a named owner, and evidence.</t>
  </si>
  <si>
    <t>About the benchmark target</t>
  </si>
  <si>
    <t>We set 75% as the target for each domain. That's the median for firms with 3+ years of federal wins and a deliberate capture function. Below 40% is normal for first-year contractors. Don't beat yourself up — just work the plan.</t>
  </si>
  <si>
    <t>Voice note</t>
  </si>
  <si>
    <t>We wrote this for a business owner with a contract due in six months and zero government experience. If a question is unclear, the wording is on us, not you. Email Andre at info@capturepilot.com.</t>
  </si>
  <si>
    <t>THE SEVEN DOMAINS (and why they're weighted that way)</t>
  </si>
  <si>
    <t>Market Intelligence (15%)</t>
  </si>
  <si>
    <t>Do you know what's coming six to twelve months out, and who's likely to win it?</t>
  </si>
  <si>
    <t>Pipeline &amp; Capture Management (20%)</t>
  </si>
  <si>
    <t>Highest weight. Capture work done early — six to nine months before RFP — is the single biggest driver of win rate.</t>
  </si>
  <si>
    <t>Relationship Building (15%)</t>
  </si>
  <si>
    <t>If you're meeting the KO for the first time at the proposal kickoff, you're already losing.</t>
  </si>
  <si>
    <t>Proposal Quality (20%)</t>
  </si>
  <si>
    <t>Tied for highest weight. Includes color team reviews, compliance, and pricing discipline. This is where good capture work goes to die if your proposal team is sloppy.</t>
  </si>
  <si>
    <t>Past Performance (15%)</t>
  </si>
  <si>
    <t>Federal evaluators read CPARS before they read your prose. A library of structured, RFP-ready references is non-negotiable.</t>
  </si>
  <si>
    <t>Compliance &amp; Certifications (10%)</t>
  </si>
  <si>
    <t>Lower weight only because it's binary — either your SAM registration is current or it isn't. But if you score 0 here, nothing else matters.</t>
  </si>
  <si>
    <t>BD Infrastructure (5%)</t>
  </si>
  <si>
    <t>The plumbing. CRM, written BD strategy, separate cost pool. Small weight because tools don't win contracts. People who use them do.</t>
  </si>
  <si>
    <t>CAPTURE MATURITY SELF-AUDIT — score each practice 0 to 4</t>
  </si>
  <si>
    <t>Check the box in the Done column when a practice is in place and you can show evidence. Google Sheets renders these as native checkboxes. Excel 365: right-click &gt; Format Cell &gt; Checkbox to convert. Older Excel shows them as TRUE/FALSE dropdowns — same result. Each checkbox counts 1 point toward the domain total.</t>
  </si>
  <si>
    <t>Domain / Practice</t>
  </si>
  <si>
    <t>Done?</t>
  </si>
  <si>
    <t>Pts</t>
  </si>
  <si>
    <t>Domain %</t>
  </si>
  <si>
    <t>Tier</t>
  </si>
  <si>
    <t>Priority</t>
  </si>
  <si>
    <t>Notes</t>
  </si>
  <si>
    <t>MARKET INTELLIGENCE   (Weight: 15%)</t>
  </si>
  <si>
    <t>We have a documented target agency list with 6 to 12 months of pipeline visibility.</t>
  </si>
  <si>
    <t/>
  </si>
  <si>
    <t>We monitor SAM.gov daily and have alerts set for our NAICS codes.</t>
  </si>
  <si>
    <t>We track incumbent contract expiration dates for opportunities we want to recompete.</t>
  </si>
  <si>
    <t>We have researched at least 3 competitors' rates, capabilities, and past performance.</t>
  </si>
  <si>
    <t>We understand our top agencies' strategic plans and mission priorities.</t>
  </si>
  <si>
    <t>We know which GWACs and IDIQs our target agencies prefer, and why.</t>
  </si>
  <si>
    <t xml:space="preserve">  MARKET INTELLIGENCE — Domain Total</t>
  </si>
  <si>
    <t>PIPELINE &amp; CAPTURE MANAGEMENT   (Weight: 20%)</t>
  </si>
  <si>
    <t>We maintain a written pipeline with probability of win (PWin) scores per opportunity.</t>
  </si>
  <si>
    <t>We use a documented bid / no-bid process — not gut feel.</t>
  </si>
  <si>
    <t>We start capture activities at least 6 to 9 months before RFP release.</t>
  </si>
  <si>
    <t>We track time invested per pursuit and compare against win rates.</t>
  </si>
  <si>
    <t>We have a defined capture stage gate process (market research, pre-sol, RFP, proposal).</t>
  </si>
  <si>
    <t>We conduct win / loss analyses on every submitted proposal.</t>
  </si>
  <si>
    <t xml:space="preserve">  PIPELINE &amp; CAPTURE MANAGEMENT — Domain Total</t>
  </si>
  <si>
    <t>RELATIONSHIP BUILDING   (Weight: 15%)</t>
  </si>
  <si>
    <t>We have established relationships with at least 2 KOs or CORs at target agencies.</t>
  </si>
  <si>
    <t>We regularly attend industry days, sources sought events, and agency briefings.</t>
  </si>
  <si>
    <t>We've had at least one capability briefing with a target agency in the past 6 months.</t>
  </si>
  <si>
    <t>We have a defined outreach cadence — not just responding to solicitations.</t>
  </si>
  <si>
    <t>We maintain relationships with at least 2 large primes as a potential sub.</t>
  </si>
  <si>
    <t>We attend at least one small business networking event per quarter.</t>
  </si>
  <si>
    <t xml:space="preserve">  RELATIONSHIP BUILDING — Domain Total</t>
  </si>
  <si>
    <t>PROPOSAL QUALITY   (Weight: 20%)</t>
  </si>
  <si>
    <t>We have a written proposal development process with roles and timelines.</t>
  </si>
  <si>
    <t>We conduct internal color team reviews (Pink, Red, Gold) before submission.</t>
  </si>
  <si>
    <t>Our proposals consistently address evaluation criteria in the order listed in the RFP.</t>
  </si>
  <si>
    <t>We use past performance references that are directly relevant to the requirement.</t>
  </si>
  <si>
    <t>Our pricing is informed by competitor analysis, not just cost-plus to margin.</t>
  </si>
  <si>
    <t>We comply fully with Section L and M — page limits, font, format, submission method.</t>
  </si>
  <si>
    <t xml:space="preserve">  PROPOSAL QUALITY — Domain Total</t>
  </si>
  <si>
    <t>PAST PERFORMANCE   (Weight: 15%)</t>
  </si>
  <si>
    <t>We maintain a library of past performance references in a structured format.</t>
  </si>
  <si>
    <t>We have at least 3 directly relevant federal contracts (or strong commercial analogues).</t>
  </si>
  <si>
    <t>We collect CPARS / PPIRS ratings and know our scores.</t>
  </si>
  <si>
    <t>We proactively manage government POC relationships on active contracts.</t>
  </si>
  <si>
    <t>We document lessons learned and outcome metrics on every completed contract.</t>
  </si>
  <si>
    <t>We have written narratives ready for our top 5 past performance references.</t>
  </si>
  <si>
    <t xml:space="preserve">  PAST PERFORMANCE — Domain Total</t>
  </si>
  <si>
    <t>COMPLIANCE &amp; CERTIFICATIONS   (Weight: 10%)</t>
  </si>
  <si>
    <t>Our SAM.gov registration is active and was updated within the past 12 months.</t>
  </si>
  <si>
    <t>Our NAICS codes in SAM.gov accurately reflect our current service offerings.</t>
  </si>
  <si>
    <t>We have verified our size standard for every NAICS code we compete under.</t>
  </si>
  <si>
    <t>If we hold a set-aside certification (8(a), SDVOSB, HUBZone, WOSB), it is current.</t>
  </si>
  <si>
    <t>We understand FAR 52.219 small business subcontracting requirements for primes.</t>
  </si>
  <si>
    <t>We have a written Conflict of Interest policy and OCI disclosure process.</t>
  </si>
  <si>
    <t xml:space="preserve">  COMPLIANCE &amp; CERTIFICATIONS — Domain Total</t>
  </si>
  <si>
    <t>BD INFRASTRUCTURE   (Weight: 5%)</t>
  </si>
  <si>
    <t>We have a current, one-page capability statement that is mission-focused (not generic).</t>
  </si>
  <si>
    <t>We have a written BD strategy with documented annual new business targets.</t>
  </si>
  <si>
    <t>We track BD costs as a separate cost pool (or at least as a line item).</t>
  </si>
  <si>
    <t>We have a CRM or pipeline tracker — not spreadsheets on personal drives.</t>
  </si>
  <si>
    <t xml:space="preserve">  BD INFRASTRUCTURE — Domain Total</t>
  </si>
  <si>
    <t>SCORING NOTE: A '4' is rare. Score it only if the practice is documented, consistently applied, and you could show evidence in a DCAA audit or due diligence review. Aspirational practices score 1 or 2, not 3.</t>
  </si>
  <si>
    <t>CAPTURE MATURITY DASHBOARD — auto-calculated from Self-Audit</t>
  </si>
  <si>
    <t>Domain</t>
  </si>
  <si>
    <t>Weight</t>
  </si>
  <si>
    <t>Your Score %</t>
  </si>
  <si>
    <t>Weighted Contribution</t>
  </si>
  <si>
    <t>Benchmark</t>
  </si>
  <si>
    <t>Gap</t>
  </si>
  <si>
    <t>Recommended Focus Area</t>
  </si>
  <si>
    <t>MARKET INTELLIGENCE</t>
  </si>
  <si>
    <t>PIPELINE &amp; CAPTURE MANAGEMENT</t>
  </si>
  <si>
    <t>RELATIONSHIP BUILDING</t>
  </si>
  <si>
    <t>PROPOSAL QUALITY</t>
  </si>
  <si>
    <t>PAST PERFORMANCE</t>
  </si>
  <si>
    <t>COMPLIANCE &amp; CERTIFICATIONS</t>
  </si>
  <si>
    <t>BD INFRASTRUCTURE</t>
  </si>
  <si>
    <t>OVERALL MATURITY SCORE</t>
  </si>
  <si>
    <t>MATURITY LEVEL INTERPRETATION</t>
  </si>
  <si>
    <t>0 to 39%</t>
  </si>
  <si>
    <t>Developing</t>
  </si>
  <si>
    <t>Capture is ad hoc. You respond to solicitations as they appear, without a system. Win rates are low and unpredictable — typically under 10%.</t>
  </si>
  <si>
    <t>40 to 69%</t>
  </si>
  <si>
    <t>Progressing</t>
  </si>
  <si>
    <t>Some practices in place, but inconsistent. Win rates are improving and depend heavily on one or two people's effort. A bus problem.</t>
  </si>
  <si>
    <t>70 to 84%</t>
  </si>
  <si>
    <t>Strong</t>
  </si>
  <si>
    <t>Capture is documented, consistent, and showing results. You win competitively and can articulate why. Win rate usually 25-40%.</t>
  </si>
  <si>
    <t>85 to 100%</t>
  </si>
  <si>
    <t>Optimized</t>
  </si>
  <si>
    <t>Capture is a competitive advantage. You shape requirements, you have agency relationships, and your win rate consistently clears 40%.</t>
  </si>
  <si>
    <t>YOUR CURRENT TIER</t>
  </si>
  <si>
    <t>TOP 3 PRIORITY DOMAINS (lowest score first)</t>
  </si>
  <si>
    <t>#1</t>
  </si>
  <si>
    <t>#2</t>
  </si>
  <si>
    <t>#3</t>
  </si>
  <si>
    <t>30 / 60 / 90 DAY ACTION PLAN — translate the audit into work</t>
  </si>
  <si>
    <t>Pre-loaded with the most common starter actions. Edit, delete, add your own. Set the Status column to Complete as you finish each one — the bar at the bottom tracks your completion rate.</t>
  </si>
  <si>
    <t>Action Item</t>
  </si>
  <si>
    <t>Window</t>
  </si>
  <si>
    <t>Owner</t>
  </si>
  <si>
    <t>Due Date</t>
  </si>
  <si>
    <t>Status</t>
  </si>
  <si>
    <t>Set SAM.gov email alerts for top 3 NAICS codes</t>
  </si>
  <si>
    <t>Market Intelligence</t>
  </si>
  <si>
    <t>30 days</t>
  </si>
  <si>
    <t>High</t>
  </si>
  <si>
    <t>Not Started</t>
  </si>
  <si>
    <t>Pull FPDS data on top 5 incumbent contracts in our space</t>
  </si>
  <si>
    <t>Verify SAM.gov registration is active and every NAICS code is current</t>
  </si>
  <si>
    <t>Compliance</t>
  </si>
  <si>
    <t>Critical</t>
  </si>
  <si>
    <t>Create a one-page pipeline tracker with PWin scores per pursuit</t>
  </si>
  <si>
    <t>Pipeline &amp; Capture</t>
  </si>
  <si>
    <t>Refresh capability statement — one page, mission-aligned, per top agency</t>
  </si>
  <si>
    <t>BD Infrastructure</t>
  </si>
  <si>
    <t>Write a bid / no-bid scoring matrix for any opportunity over $500K</t>
  </si>
  <si>
    <t>Book a capability briefing with at least 1 target agency OSDBU or KO</t>
  </si>
  <si>
    <t>Relationships</t>
  </si>
  <si>
    <t>60 days</t>
  </si>
  <si>
    <t>Write 3 structured past performance references in CPARS format</t>
  </si>
  <si>
    <t>Past Performance</t>
  </si>
  <si>
    <t>Pull competitor labor rates from GSA CALC for top 5 categories</t>
  </si>
  <si>
    <t>Medium</t>
  </si>
  <si>
    <t>Template your standard proposal outline mapped to Section L and M</t>
  </si>
  <si>
    <t>Proposal Quality</t>
  </si>
  <si>
    <t>Identify 2 large primes to pursue teaming relationships with</t>
  </si>
  <si>
    <t>Collect every current CPARS rating and document performance scores</t>
  </si>
  <si>
    <t>Run a Pink team internal review on the next live proposal</t>
  </si>
  <si>
    <t>90 days</t>
  </si>
  <si>
    <t>Debrief win / loss on the last 3 submitted proposals</t>
  </si>
  <si>
    <t>Map 6-month pipeline; flag opportunities expiring in 30-180 days</t>
  </si>
  <si>
    <t>Install a real CRM or pipeline tracker — kill the personal spreadsheets</t>
  </si>
  <si>
    <t>Complete set-aside certification review — 8(a), SDVOSB, HUBZone, WOSB</t>
  </si>
  <si>
    <t>Attend at least 2 agency industry days or small business events</t>
  </si>
  <si>
    <t>COMPLETION SUMMARY</t>
  </si>
  <si>
    <t>Total actions</t>
  </si>
  <si>
    <t>Completed</t>
  </si>
  <si>
    <t>In progress</t>
  </si>
  <si>
    <t>Blocked</t>
  </si>
  <si>
    <t>Not started</t>
  </si>
  <si>
    <t>Completion rate</t>
  </si>
  <si>
    <t>Priority key: Critical = this week. High = this month. Medium = this quarter. Low = next quarter. Status options: Not Started, In Progress, Blocked, Complete.</t>
  </si>
  <si>
    <t>WHAT A '3' VS A '4' ACTUALLY LOOKS LIKE</t>
  </si>
  <si>
    <t>Score 3 (Consistent)</t>
  </si>
  <si>
    <t>Score 4 (Documented + Provable)</t>
  </si>
  <si>
    <t>Founder checks SAM.gov a few times a week, knows the top 5 incumbents by name.</t>
  </si>
  <si>
    <t>Daily SAM alerts firing into Slack; FPDS pull on incumbents refreshed monthly; written agency target list with PWin estimates.</t>
  </si>
  <si>
    <t>Spreadsheet pipeline with deals and dates. Bid/no-bid decided in a Tuesday meeting.</t>
  </si>
  <si>
    <t>Stage-gated capture in CRM; PWin scored per row; written bid/no-bid rubric with go/no-go criteria; capture starts 6+ months pre-RFP for any deal over $500K.</t>
  </si>
  <si>
    <t>Relationship Building</t>
  </si>
  <si>
    <t>You've met a couple of KOs at conferences. You know who they are.</t>
  </si>
  <si>
    <t>Quarterly cadence of capability briefings; documented relationship map per agency; teaming agreements signed with 2+ primes.</t>
  </si>
  <si>
    <t>You do a final read-through before submitting. Compliance matrix is in your head.</t>
  </si>
  <si>
    <t>Color reviews (Pink, Red, Gold) on every proposal over $250K; written Section L/M compliance matrix per submission; price-to-win analysis on file.</t>
  </si>
  <si>
    <t>You have a folder of past contracts and can pull a reference when asked.</t>
  </si>
  <si>
    <t>Library of structured PP write-ups (5+) ready to drop into any proposal; CPARS scores tracked; lessons learned captured on every closeout.</t>
  </si>
  <si>
    <t>SAM is current. You think your NAICS codes are right.</t>
  </si>
  <si>
    <t>SAM updated within 12 months; NAICS reviewed quarterly; size standard verified per code; OCI policy written and signed.</t>
  </si>
  <si>
    <t>You use Google Sheets for the pipeline. Capability statement was last updated 'recently'.</t>
  </si>
  <si>
    <t>Real CRM (HubSpot, Salesforce, or a federal-specific tool); BD strategy in writing with annual targets; capability statement refreshed quarterly per top agency.</t>
  </si>
  <si>
    <t>COMMON HONEST-ASSESSMENT MISTAKES</t>
  </si>
  <si>
    <t>Scoring 3 for 'I know how to'</t>
  </si>
  <si>
    <t>Knowing how to do something and consistently doing it are different. If you've done it on one proposal, that's a 2, not a 3.</t>
  </si>
  <si>
    <t>Scoring 4 because 'we always do it'</t>
  </si>
  <si>
    <t>If it's not written down, somebody leaves and it's gone. A '4' requires documentation.</t>
  </si>
  <si>
    <t>Scoring 0 as 'rare'</t>
  </si>
  <si>
    <t>0 means it's not in place at all. If you've ever done it once on purpose, you're at 1 or 2.</t>
  </si>
  <si>
    <t>Averaging founder + BD lead scores</t>
  </si>
  <si>
    <t>Don't. Compare them side by side — the gap itself is the diagnostic.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</si>
</sst>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0F172A"/>
      <sz val="11"/>
      <name val="Calibri"/>
    </font>
    <font>
      <color rgb="FF0F172A"/>
      <sz val="11"/>
      <name val="Calibri"/>
    </font>
    <font>
      <b/>
      <color rgb="FF0F172A"/>
      <sz val="11"/>
    </font>
    <font>
      <b/>
      <color rgb="FFFFFFFF"/>
      <sz val="11"/>
    </font>
    <font>
      <b/>
      <color rgb="FFFFFFFF"/>
      <sz val="12"/>
    </font>
    <font>
      <b/>
      <color rgb="FF047857"/>
      <sz val="14"/>
    </font>
  </fonts>
  <fills count="9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047857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 applyProtection="1">
      <alignment horizontal="left" vertical="center" indent="1"/>
    </xf>
    <xf numFmtId="0" fontId="2" fillId="3" borderId="1" xfId="0" applyFont="1" applyFill="1" applyBorder="1" applyAlignment="1" applyProtection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Protection="1"/>
    <xf numFmtId="0" fontId="3" fillId="4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left" vertical="center" indent="1"/>
    </xf>
    <xf numFmtId="0" fontId="5" fillId="5" borderId="1" xfId="0" applyFont="1" applyFill="1" applyBorder="1" applyAlignment="1" applyProtection="1">
      <alignment horizontal="left" vertical="center" indent="1"/>
    </xf>
    <xf numFmtId="0" fontId="3" fillId="0" borderId="1" xfId="0" applyFont="1" applyBorder="1" applyAlignment="1" applyProtection="1">
      <alignment horizontal="left" vertical="center" wrapText="1" indent="2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</xf>
    <xf numFmtId="9" fontId="3" fillId="4" borderId="1" xfId="0" applyNumberFormat="1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</xf>
    <xf numFmtId="9" fontId="2" fillId="3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left" vertical="center" wrapText="1"/>
    </xf>
    <xf numFmtId="0" fontId="3" fillId="8" borderId="1" xfId="0" applyFont="1" applyFill="1" applyBorder="1" applyAlignment="1" applyProtection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6"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color rgb="FF065F46"/>
        <strike/>
      </font>
      <fill>
        <patternFill patternType="solid">
          <fgColor rgb="FFD1FAE5"/>
          <bgColor rgb="FFD1FAE5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16A34A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59E0B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2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70" customWidth="1"/>
    <col min="4" max="4" width="4" customWidth="1"/>
  </cols>
  <sheetData>
    <row r="1" ht="28" customHeight="1" spans="2:3" x14ac:dyDescent="0.25">
      <c r="B1" s="1" t="s">
        <v>0</v>
      </c>
      <c r="C1" s="1"/>
    </row>
    <row r="3" ht="48" customHeight="1" spans="2:3" x14ac:dyDescent="0.25">
      <c r="B3" s="2" t="s">
        <v>1</v>
      </c>
      <c r="C3" s="3" t="s">
        <v>2</v>
      </c>
    </row>
    <row r="4" ht="34" customHeight="1" spans="2:3" x14ac:dyDescent="0.25">
      <c r="B4" s="2" t="s">
        <v>3</v>
      </c>
      <c r="C4" s="3" t="s">
        <v>4</v>
      </c>
    </row>
    <row r="5" ht="64" customHeight="1" spans="2:3" x14ac:dyDescent="0.25">
      <c r="B5" s="2" t="s">
        <v>5</v>
      </c>
      <c r="C5" s="3" t="s">
        <v>6</v>
      </c>
    </row>
    <row r="6" ht="64" customHeight="1" spans="2:3" x14ac:dyDescent="0.25">
      <c r="B6" s="2" t="s">
        <v>7</v>
      </c>
      <c r="C6" s="3" t="s">
        <v>8</v>
      </c>
    </row>
    <row r="7" ht="64" customHeight="1" spans="2:3" x14ac:dyDescent="0.25">
      <c r="B7" s="2" t="s">
        <v>9</v>
      </c>
      <c r="C7" s="3" t="s">
        <v>10</v>
      </c>
    </row>
    <row r="8" ht="48" customHeight="1" spans="2:3" x14ac:dyDescent="0.25">
      <c r="B8" s="2" t="s">
        <v>11</v>
      </c>
      <c r="C8" s="3" t="s">
        <v>12</v>
      </c>
    </row>
    <row r="9" ht="64" customHeight="1" spans="2:3" x14ac:dyDescent="0.25">
      <c r="B9" s="2" t="s">
        <v>13</v>
      </c>
      <c r="C9" s="3" t="s">
        <v>14</v>
      </c>
    </row>
    <row r="10" ht="64" customHeight="1" spans="2:3" x14ac:dyDescent="0.25">
      <c r="B10" s="2" t="s">
        <v>15</v>
      </c>
      <c r="C10" s="3" t="s">
        <v>16</v>
      </c>
    </row>
    <row r="11" ht="48" customHeight="1" spans="2:3" x14ac:dyDescent="0.25">
      <c r="B11" s="2" t="s">
        <v>17</v>
      </c>
      <c r="C11" s="3" t="s">
        <v>18</v>
      </c>
    </row>
    <row r="13" ht="24" customHeight="1" spans="2:3" x14ac:dyDescent="0.25">
      <c r="B13" s="1" t="s">
        <v>19</v>
      </c>
      <c r="C13" s="1"/>
    </row>
    <row r="14" ht="32" customHeight="1" spans="2:3" x14ac:dyDescent="0.25">
      <c r="B14" s="4" t="s">
        <v>20</v>
      </c>
      <c r="C14" s="3" t="s">
        <v>21</v>
      </c>
    </row>
    <row r="15" ht="32" customHeight="1" spans="2:3" x14ac:dyDescent="0.25">
      <c r="B15" s="4" t="s">
        <v>22</v>
      </c>
      <c r="C15" s="3" t="s">
        <v>23</v>
      </c>
    </row>
    <row r="16" ht="32" customHeight="1" spans="2:3" x14ac:dyDescent="0.25">
      <c r="B16" s="4" t="s">
        <v>24</v>
      </c>
      <c r="C16" s="3" t="s">
        <v>25</v>
      </c>
    </row>
    <row r="17" ht="48" customHeight="1" spans="2:3" x14ac:dyDescent="0.25">
      <c r="B17" s="4" t="s">
        <v>26</v>
      </c>
      <c r="C17" s="3" t="s">
        <v>27</v>
      </c>
    </row>
    <row r="18" ht="32" customHeight="1" spans="2:3" x14ac:dyDescent="0.25">
      <c r="B18" s="4" t="s">
        <v>28</v>
      </c>
      <c r="C18" s="3" t="s">
        <v>29</v>
      </c>
    </row>
    <row r="19" ht="48" customHeight="1" spans="2:3" x14ac:dyDescent="0.25">
      <c r="B19" s="4" t="s">
        <v>30</v>
      </c>
      <c r="C19" s="3" t="s">
        <v>31</v>
      </c>
    </row>
    <row r="20" ht="48" customHeight="1" spans="2:3" x14ac:dyDescent="0.25">
      <c r="B20" s="4" t="s">
        <v>32</v>
      </c>
      <c r="C20" s="3" t="s">
        <v>33</v>
      </c>
    </row>
  </sheetData>
  <mergeCells count="2">
    <mergeCell ref="B1:C1"/>
    <mergeCell ref="B13:C13"/>
  </mergeCells>
  <pageMargins left="0.5" right="0.5" top="0.6" bottom="0.6" header="0.3" footer="0.3"/>
  <pageSetup paperSize="9" orientation="portrait" horizontalDpi="4294967295" verticalDpi="4294967295" scale="100" fitToWidth="1" fitToHeight="0" firstPageNumber="1" useFirstPageNumber="1" copies="1"/>
  <headerFooter>
    <oddHeader>&amp;LCapturePilot &amp;C Capture Maturity Self-Audit &amp;RFederal Lead Kit</oddHeader>
    <oddFooter>&amp;LRebuilt &amp;C Page &amp;P of &amp;N &amp;Rcapturepilot.com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2" customWidth="1"/>
    <col min="3" max="3" width="12" customWidth="1"/>
    <col min="4" max="4" width="8" customWidth="1"/>
    <col min="5" max="5" width="14" customWidth="1"/>
    <col min="6" max="6" width="16" customWidth="1"/>
    <col min="7" max="7" width="14" customWidth="1"/>
    <col min="8" max="8" width="32" customWidth="1"/>
  </cols>
  <sheetData>
    <row r="1" ht="26" customHeight="1" spans="1:8" x14ac:dyDescent="0.25">
      <c r="A1" s="5"/>
      <c r="B1" s="1" t="s">
        <v>34</v>
      </c>
      <c r="C1" s="1"/>
      <c r="D1" s="1"/>
      <c r="E1" s="1"/>
      <c r="F1" s="1"/>
      <c r="G1" s="1"/>
      <c r="H1" s="1"/>
    </row>
    <row r="2" ht="48" customHeight="1" spans="1:8" x14ac:dyDescent="0.25">
      <c r="A2" s="5"/>
      <c r="B2" s="6" t="s">
        <v>35</v>
      </c>
      <c r="C2" s="6"/>
      <c r="D2" s="6"/>
      <c r="E2" s="6"/>
      <c r="F2" s="6"/>
      <c r="G2" s="6"/>
      <c r="H2" s="6"/>
    </row>
    <row r="3" ht="22" customHeight="1" spans="1:8" x14ac:dyDescent="0.25">
      <c r="A3" s="5"/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</row>
    <row r="4" ht="22" customHeight="1" spans="1:8" x14ac:dyDescent="0.25">
      <c r="A4" s="5"/>
      <c r="B4" s="8" t="s">
        <v>43</v>
      </c>
      <c r="C4" s="8"/>
      <c r="D4" s="8"/>
      <c r="E4" s="8"/>
      <c r="F4" s="8"/>
      <c r="G4" s="8"/>
      <c r="H4" s="8"/>
    </row>
    <row r="5" ht="32" customHeight="1" spans="1:8" x14ac:dyDescent="0.25">
      <c r="A5" s="5"/>
      <c r="B5" s="9" t="s">
        <v>44</v>
      </c>
      <c r="C5" s="10" t="b">
        <v>0</v>
      </c>
      <c r="D5" s="11">
        <v>1</v>
      </c>
      <c r="E5" s="12">
        <f>IFERROR(--C5/D5,0)</f>
        <v>0</v>
      </c>
      <c r="F5" s="11" t="str">
        <f>IF(C5=TRUE,"In place","Not yet")</f>
        <v>Not yet</v>
      </c>
      <c r="G5" s="11" t="str">
        <f>IF(C5=TRUE,"","FIX")</f>
        <v>FIX</v>
      </c>
      <c r="H5" s="13" t="s">
        <v>45</v>
      </c>
    </row>
    <row r="6" ht="32" customHeight="1" spans="1:8" x14ac:dyDescent="0.25">
      <c r="A6" s="5"/>
      <c r="B6" s="9" t="s">
        <v>46</v>
      </c>
      <c r="C6" s="10" t="b">
        <v>0</v>
      </c>
      <c r="D6" s="11">
        <v>1</v>
      </c>
      <c r="E6" s="12">
        <f>IFERROR(--C6/D6,0)</f>
        <v>0</v>
      </c>
      <c r="F6" s="11" t="str">
        <f>IF(C6=TRUE,"In place","Not yet")</f>
        <v>Not yet</v>
      </c>
      <c r="G6" s="11" t="str">
        <f>IF(C6=TRUE,"","FIX")</f>
        <v>FIX</v>
      </c>
      <c r="H6" s="13" t="s">
        <v>45</v>
      </c>
    </row>
    <row r="7" ht="32" customHeight="1" spans="1:8" x14ac:dyDescent="0.25">
      <c r="A7" s="5"/>
      <c r="B7" s="9" t="s">
        <v>47</v>
      </c>
      <c r="C7" s="10" t="b">
        <v>0</v>
      </c>
      <c r="D7" s="11">
        <v>1</v>
      </c>
      <c r="E7" s="12">
        <f>IFERROR(--C7/D7,0)</f>
        <v>0</v>
      </c>
      <c r="F7" s="11" t="str">
        <f>IF(C7=TRUE,"In place","Not yet")</f>
        <v>Not yet</v>
      </c>
      <c r="G7" s="11" t="str">
        <f>IF(C7=TRUE,"","FIX")</f>
        <v>FIX</v>
      </c>
      <c r="H7" s="13" t="s">
        <v>45</v>
      </c>
    </row>
    <row r="8" ht="32" customHeight="1" spans="1:8" x14ac:dyDescent="0.25">
      <c r="A8" s="5"/>
      <c r="B8" s="9" t="s">
        <v>48</v>
      </c>
      <c r="C8" s="10" t="b">
        <v>0</v>
      </c>
      <c r="D8" s="11">
        <v>1</v>
      </c>
      <c r="E8" s="12">
        <f>IFERROR(--C8/D8,0)</f>
        <v>0</v>
      </c>
      <c r="F8" s="11" t="str">
        <f>IF(C8=TRUE,"In place","Not yet")</f>
        <v>Not yet</v>
      </c>
      <c r="G8" s="11" t="str">
        <f>IF(C8=TRUE,"","FIX")</f>
        <v>FIX</v>
      </c>
      <c r="H8" s="13" t="s">
        <v>45</v>
      </c>
    </row>
    <row r="9" ht="32" customHeight="1" spans="1:8" x14ac:dyDescent="0.25">
      <c r="A9" s="5"/>
      <c r="B9" s="9" t="s">
        <v>49</v>
      </c>
      <c r="C9" s="10" t="b">
        <v>0</v>
      </c>
      <c r="D9" s="11">
        <v>1</v>
      </c>
      <c r="E9" s="12">
        <f>IFERROR(--C9/D9,0)</f>
        <v>0</v>
      </c>
      <c r="F9" s="11" t="str">
        <f>IF(C9=TRUE,"In place","Not yet")</f>
        <v>Not yet</v>
      </c>
      <c r="G9" s="11" t="str">
        <f>IF(C9=TRUE,"","FIX")</f>
        <v>FIX</v>
      </c>
      <c r="H9" s="13" t="s">
        <v>45</v>
      </c>
    </row>
    <row r="10" ht="32" customHeight="1" spans="1:8" x14ac:dyDescent="0.25">
      <c r="A10" s="5"/>
      <c r="B10" s="9" t="s">
        <v>50</v>
      </c>
      <c r="C10" s="10" t="b">
        <v>0</v>
      </c>
      <c r="D10" s="11">
        <v>1</v>
      </c>
      <c r="E10" s="12">
        <f>IFERROR(--C10/D10,0)</f>
        <v>0</v>
      </c>
      <c r="F10" s="11" t="str">
        <f>IF(C10=TRUE,"In place","Not yet")</f>
        <v>Not yet</v>
      </c>
      <c r="G10" s="11" t="str">
        <f>IF(C10=TRUE,"","FIX")</f>
        <v>FIX</v>
      </c>
      <c r="H10" s="13" t="s">
        <v>45</v>
      </c>
    </row>
    <row r="11" ht="22" customHeight="1" spans="1:8" x14ac:dyDescent="0.25">
      <c r="A11" s="5"/>
      <c r="B11" s="2" t="s">
        <v>51</v>
      </c>
      <c r="C11" s="14">
        <f>SUM(C5:C10)</f>
      </c>
      <c r="D11" s="14">
        <f>SUM(D5:D10)</f>
      </c>
      <c r="E11" s="15">
        <f>IFERROR(C11/D11,0)</f>
      </c>
      <c r="F11" s="14">
        <f>IF(E11&gt;=0.85,"Optimized",IF(E11&gt;=0.70,"Strong",IF(E11&gt;=0.40,"Progressing","Developing")))</f>
      </c>
      <c r="G11" s="14">
        <f>IF(E11&lt;0.40,"PRIORITY","")</f>
      </c>
      <c r="H11" s="16" t="s">
        <v>45</v>
      </c>
    </row>
    <row r="12" ht="22" customHeight="1" spans="1:8" x14ac:dyDescent="0.25">
      <c r="A12" s="5"/>
      <c r="B12" s="8" t="s">
        <v>52</v>
      </c>
      <c r="C12" s="8"/>
      <c r="D12" s="8"/>
      <c r="E12" s="8"/>
      <c r="F12" s="8"/>
      <c r="G12" s="8"/>
      <c r="H12" s="8"/>
    </row>
    <row r="13" ht="32" customHeight="1" spans="1:8" x14ac:dyDescent="0.25">
      <c r="A13" s="5"/>
      <c r="B13" s="9" t="s">
        <v>53</v>
      </c>
      <c r="C13" s="10" t="b">
        <v>0</v>
      </c>
      <c r="D13" s="11">
        <v>1</v>
      </c>
      <c r="E13" s="12">
        <f>IFERROR(--C13/D13,0)</f>
        <v>0</v>
      </c>
      <c r="F13" s="11" t="str">
        <f>IF(C13=TRUE,"In place","Not yet")</f>
        <v>Not yet</v>
      </c>
      <c r="G13" s="11" t="str">
        <f>IF(C13=TRUE,"","FIX")</f>
        <v>FIX</v>
      </c>
      <c r="H13" s="13" t="s">
        <v>45</v>
      </c>
    </row>
    <row r="14" ht="32" customHeight="1" spans="1:8" x14ac:dyDescent="0.25">
      <c r="A14" s="5"/>
      <c r="B14" s="9" t="s">
        <v>54</v>
      </c>
      <c r="C14" s="10" t="b">
        <v>0</v>
      </c>
      <c r="D14" s="11">
        <v>1</v>
      </c>
      <c r="E14" s="12">
        <f>IFERROR(--C14/D14,0)</f>
        <v>0</v>
      </c>
      <c r="F14" s="11" t="str">
        <f>IF(C14=TRUE,"In place","Not yet")</f>
        <v>Not yet</v>
      </c>
      <c r="G14" s="11" t="str">
        <f>IF(C14=TRUE,"","FIX")</f>
        <v>FIX</v>
      </c>
      <c r="H14" s="13" t="s">
        <v>45</v>
      </c>
    </row>
    <row r="15" ht="32" customHeight="1" spans="1:8" x14ac:dyDescent="0.25">
      <c r="A15" s="5"/>
      <c r="B15" s="9" t="s">
        <v>55</v>
      </c>
      <c r="C15" s="10" t="b">
        <v>0</v>
      </c>
      <c r="D15" s="11">
        <v>1</v>
      </c>
      <c r="E15" s="12">
        <f>IFERROR(--C15/D15,0)</f>
        <v>0</v>
      </c>
      <c r="F15" s="11" t="str">
        <f>IF(C15=TRUE,"In place","Not yet")</f>
        <v>Not yet</v>
      </c>
      <c r="G15" s="11" t="str">
        <f>IF(C15=TRUE,"","FIX")</f>
        <v>FIX</v>
      </c>
      <c r="H15" s="13" t="s">
        <v>45</v>
      </c>
    </row>
    <row r="16" ht="32" customHeight="1" spans="1:8" x14ac:dyDescent="0.25">
      <c r="A16" s="5"/>
      <c r="B16" s="9" t="s">
        <v>56</v>
      </c>
      <c r="C16" s="10" t="b">
        <v>0</v>
      </c>
      <c r="D16" s="11">
        <v>1</v>
      </c>
      <c r="E16" s="12">
        <f>IFERROR(--C16/D16,0)</f>
        <v>0</v>
      </c>
      <c r="F16" s="11" t="str">
        <f>IF(C16=TRUE,"In place","Not yet")</f>
        <v>Not yet</v>
      </c>
      <c r="G16" s="11" t="str">
        <f>IF(C16=TRUE,"","FIX")</f>
        <v>FIX</v>
      </c>
      <c r="H16" s="13" t="s">
        <v>45</v>
      </c>
    </row>
    <row r="17" ht="32" customHeight="1" spans="1:8" x14ac:dyDescent="0.25">
      <c r="A17" s="5"/>
      <c r="B17" s="9" t="s">
        <v>57</v>
      </c>
      <c r="C17" s="10" t="b">
        <v>0</v>
      </c>
      <c r="D17" s="11">
        <v>1</v>
      </c>
      <c r="E17" s="12">
        <f>IFERROR(--C17/D17,0)</f>
        <v>0</v>
      </c>
      <c r="F17" s="11" t="str">
        <f>IF(C17=TRUE,"In place","Not yet")</f>
        <v>Not yet</v>
      </c>
      <c r="G17" s="11" t="str">
        <f>IF(C17=TRUE,"","FIX")</f>
        <v>FIX</v>
      </c>
      <c r="H17" s="13" t="s">
        <v>45</v>
      </c>
    </row>
    <row r="18" ht="32" customHeight="1" spans="1:8" x14ac:dyDescent="0.25">
      <c r="A18" s="5"/>
      <c r="B18" s="9" t="s">
        <v>58</v>
      </c>
      <c r="C18" s="10" t="b">
        <v>0</v>
      </c>
      <c r="D18" s="11">
        <v>1</v>
      </c>
      <c r="E18" s="12">
        <f>IFERROR(--C18/D18,0)</f>
        <v>0</v>
      </c>
      <c r="F18" s="11" t="str">
        <f>IF(C18=TRUE,"In place","Not yet")</f>
        <v>Not yet</v>
      </c>
      <c r="G18" s="11" t="str">
        <f>IF(C18=TRUE,"","FIX")</f>
        <v>FIX</v>
      </c>
      <c r="H18" s="13" t="s">
        <v>45</v>
      </c>
    </row>
    <row r="19" ht="22" customHeight="1" spans="1:8" x14ac:dyDescent="0.25">
      <c r="A19" s="5"/>
      <c r="B19" s="2" t="s">
        <v>59</v>
      </c>
      <c r="C19" s="14">
        <f>SUM(C13:C18)</f>
      </c>
      <c r="D19" s="14">
        <f>SUM(D13:D18)</f>
      </c>
      <c r="E19" s="15">
        <f>IFERROR(C19/D19,0)</f>
      </c>
      <c r="F19" s="14">
        <f>IF(E19&gt;=0.85,"Optimized",IF(E19&gt;=0.70,"Strong",IF(E19&gt;=0.40,"Progressing","Developing")))</f>
      </c>
      <c r="G19" s="14">
        <f>IF(E19&lt;0.40,"PRIORITY","")</f>
      </c>
      <c r="H19" s="16" t="s">
        <v>45</v>
      </c>
    </row>
    <row r="20" ht="22" customHeight="1" spans="1:8" x14ac:dyDescent="0.25">
      <c r="A20" s="5"/>
      <c r="B20" s="8" t="s">
        <v>60</v>
      </c>
      <c r="C20" s="8"/>
      <c r="D20" s="8"/>
      <c r="E20" s="8"/>
      <c r="F20" s="8"/>
      <c r="G20" s="8"/>
      <c r="H20" s="8"/>
    </row>
    <row r="21" ht="32" customHeight="1" spans="1:8" x14ac:dyDescent="0.25">
      <c r="A21" s="5"/>
      <c r="B21" s="9" t="s">
        <v>61</v>
      </c>
      <c r="C21" s="10" t="b">
        <v>0</v>
      </c>
      <c r="D21" s="11">
        <v>1</v>
      </c>
      <c r="E21" s="12">
        <f>IFERROR(--C21/D21,0)</f>
        <v>0</v>
      </c>
      <c r="F21" s="11" t="str">
        <f>IF(C21=TRUE,"In place","Not yet")</f>
        <v>Not yet</v>
      </c>
      <c r="G21" s="11" t="str">
        <f>IF(C21=TRUE,"","FIX")</f>
        <v>FIX</v>
      </c>
      <c r="H21" s="13" t="s">
        <v>45</v>
      </c>
    </row>
    <row r="22" ht="32" customHeight="1" spans="1:8" x14ac:dyDescent="0.25">
      <c r="A22" s="5"/>
      <c r="B22" s="9" t="s">
        <v>62</v>
      </c>
      <c r="C22" s="10" t="b">
        <v>0</v>
      </c>
      <c r="D22" s="11">
        <v>1</v>
      </c>
      <c r="E22" s="12">
        <f>IFERROR(--C22/D22,0)</f>
        <v>0</v>
      </c>
      <c r="F22" s="11" t="str">
        <f>IF(C22=TRUE,"In place","Not yet")</f>
        <v>Not yet</v>
      </c>
      <c r="G22" s="11" t="str">
        <f>IF(C22=TRUE,"","FIX")</f>
        <v>FIX</v>
      </c>
      <c r="H22" s="13" t="s">
        <v>45</v>
      </c>
    </row>
    <row r="23" ht="32" customHeight="1" spans="1:8" x14ac:dyDescent="0.25">
      <c r="A23" s="5"/>
      <c r="B23" s="9" t="s">
        <v>63</v>
      </c>
      <c r="C23" s="10" t="b">
        <v>0</v>
      </c>
      <c r="D23" s="11">
        <v>1</v>
      </c>
      <c r="E23" s="12">
        <f>IFERROR(--C23/D23,0)</f>
        <v>0</v>
      </c>
      <c r="F23" s="11" t="str">
        <f>IF(C23=TRUE,"In place","Not yet")</f>
        <v>Not yet</v>
      </c>
      <c r="G23" s="11" t="str">
        <f>IF(C23=TRUE,"","FIX")</f>
        <v>FIX</v>
      </c>
      <c r="H23" s="13" t="s">
        <v>45</v>
      </c>
    </row>
    <row r="24" ht="32" customHeight="1" spans="1:8" x14ac:dyDescent="0.25">
      <c r="A24" s="5"/>
      <c r="B24" s="9" t="s">
        <v>64</v>
      </c>
      <c r="C24" s="10" t="b">
        <v>0</v>
      </c>
      <c r="D24" s="11">
        <v>1</v>
      </c>
      <c r="E24" s="12">
        <f>IFERROR(--C24/D24,0)</f>
        <v>0</v>
      </c>
      <c r="F24" s="11" t="str">
        <f>IF(C24=TRUE,"In place","Not yet")</f>
        <v>Not yet</v>
      </c>
      <c r="G24" s="11" t="str">
        <f>IF(C24=TRUE,"","FIX")</f>
        <v>FIX</v>
      </c>
      <c r="H24" s="13" t="s">
        <v>45</v>
      </c>
    </row>
    <row r="25" ht="32" customHeight="1" spans="1:8" x14ac:dyDescent="0.25">
      <c r="A25" s="5"/>
      <c r="B25" s="9" t="s">
        <v>65</v>
      </c>
      <c r="C25" s="10" t="b">
        <v>0</v>
      </c>
      <c r="D25" s="11">
        <v>1</v>
      </c>
      <c r="E25" s="12">
        <f>IFERROR(--C25/D25,0)</f>
        <v>0</v>
      </c>
      <c r="F25" s="11" t="str">
        <f>IF(C25=TRUE,"In place","Not yet")</f>
        <v>Not yet</v>
      </c>
      <c r="G25" s="11" t="str">
        <f>IF(C25=TRUE,"","FIX")</f>
        <v>FIX</v>
      </c>
      <c r="H25" s="13" t="s">
        <v>45</v>
      </c>
    </row>
    <row r="26" ht="32" customHeight="1" spans="1:8" x14ac:dyDescent="0.25">
      <c r="A26" s="5"/>
      <c r="B26" s="9" t="s">
        <v>66</v>
      </c>
      <c r="C26" s="10" t="b">
        <v>0</v>
      </c>
      <c r="D26" s="11">
        <v>1</v>
      </c>
      <c r="E26" s="12">
        <f>IFERROR(--C26/D26,0)</f>
        <v>0</v>
      </c>
      <c r="F26" s="11" t="str">
        <f>IF(C26=TRUE,"In place","Not yet")</f>
        <v>Not yet</v>
      </c>
      <c r="G26" s="11" t="str">
        <f>IF(C26=TRUE,"","FIX")</f>
        <v>FIX</v>
      </c>
      <c r="H26" s="13" t="s">
        <v>45</v>
      </c>
    </row>
    <row r="27" ht="22" customHeight="1" spans="1:8" x14ac:dyDescent="0.25">
      <c r="A27" s="5"/>
      <c r="B27" s="2" t="s">
        <v>67</v>
      </c>
      <c r="C27" s="14">
        <f>SUM(C21:C26)</f>
      </c>
      <c r="D27" s="14">
        <f>SUM(D21:D26)</f>
      </c>
      <c r="E27" s="15">
        <f>IFERROR(C27/D27,0)</f>
      </c>
      <c r="F27" s="14">
        <f>IF(E27&gt;=0.85,"Optimized",IF(E27&gt;=0.70,"Strong",IF(E27&gt;=0.40,"Progressing","Developing")))</f>
      </c>
      <c r="G27" s="14">
        <f>IF(E27&lt;0.40,"PRIORITY","")</f>
      </c>
      <c r="H27" s="16" t="s">
        <v>45</v>
      </c>
    </row>
    <row r="28" ht="22" customHeight="1" spans="1:8" x14ac:dyDescent="0.25">
      <c r="A28" s="5"/>
      <c r="B28" s="8" t="s">
        <v>68</v>
      </c>
      <c r="C28" s="8"/>
      <c r="D28" s="8"/>
      <c r="E28" s="8"/>
      <c r="F28" s="8"/>
      <c r="G28" s="8"/>
      <c r="H28" s="8"/>
    </row>
    <row r="29" ht="32" customHeight="1" spans="1:8" x14ac:dyDescent="0.25">
      <c r="A29" s="5"/>
      <c r="B29" s="9" t="s">
        <v>69</v>
      </c>
      <c r="C29" s="10" t="b">
        <v>0</v>
      </c>
      <c r="D29" s="11">
        <v>1</v>
      </c>
      <c r="E29" s="12">
        <f>IFERROR(--C29/D29,0)</f>
        <v>0</v>
      </c>
      <c r="F29" s="11" t="str">
        <f>IF(C29=TRUE,"In place","Not yet")</f>
        <v>Not yet</v>
      </c>
      <c r="G29" s="11" t="str">
        <f>IF(C29=TRUE,"","FIX")</f>
        <v>FIX</v>
      </c>
      <c r="H29" s="13" t="s">
        <v>45</v>
      </c>
    </row>
    <row r="30" ht="32" customHeight="1" spans="1:8" x14ac:dyDescent="0.25">
      <c r="A30" s="5"/>
      <c r="B30" s="9" t="s">
        <v>70</v>
      </c>
      <c r="C30" s="10" t="b">
        <v>0</v>
      </c>
      <c r="D30" s="11">
        <v>1</v>
      </c>
      <c r="E30" s="12">
        <f>IFERROR(--C30/D30,0)</f>
        <v>0</v>
      </c>
      <c r="F30" s="11" t="str">
        <f>IF(C30=TRUE,"In place","Not yet")</f>
        <v>Not yet</v>
      </c>
      <c r="G30" s="11" t="str">
        <f>IF(C30=TRUE,"","FIX")</f>
        <v>FIX</v>
      </c>
      <c r="H30" s="13" t="s">
        <v>45</v>
      </c>
    </row>
    <row r="31" ht="32" customHeight="1" spans="1:8" x14ac:dyDescent="0.25">
      <c r="A31" s="5"/>
      <c r="B31" s="9" t="s">
        <v>71</v>
      </c>
      <c r="C31" s="10" t="b">
        <v>0</v>
      </c>
      <c r="D31" s="11">
        <v>1</v>
      </c>
      <c r="E31" s="12">
        <f>IFERROR(--C31/D31,0)</f>
        <v>0</v>
      </c>
      <c r="F31" s="11" t="str">
        <f>IF(C31=TRUE,"In place","Not yet")</f>
        <v>Not yet</v>
      </c>
      <c r="G31" s="11" t="str">
        <f>IF(C31=TRUE,"","FIX")</f>
        <v>FIX</v>
      </c>
      <c r="H31" s="13" t="s">
        <v>45</v>
      </c>
    </row>
    <row r="32" ht="32" customHeight="1" spans="1:8" x14ac:dyDescent="0.25">
      <c r="A32" s="5"/>
      <c r="B32" s="9" t="s">
        <v>72</v>
      </c>
      <c r="C32" s="10" t="b">
        <v>0</v>
      </c>
      <c r="D32" s="11">
        <v>1</v>
      </c>
      <c r="E32" s="12">
        <f>IFERROR(--C32/D32,0)</f>
        <v>0</v>
      </c>
      <c r="F32" s="11" t="str">
        <f>IF(C32=TRUE,"In place","Not yet")</f>
        <v>Not yet</v>
      </c>
      <c r="G32" s="11" t="str">
        <f>IF(C32=TRUE,"","FIX")</f>
        <v>FIX</v>
      </c>
      <c r="H32" s="13" t="s">
        <v>45</v>
      </c>
    </row>
    <row r="33" ht="32" customHeight="1" spans="1:8" x14ac:dyDescent="0.25">
      <c r="A33" s="5"/>
      <c r="B33" s="9" t="s">
        <v>73</v>
      </c>
      <c r="C33" s="10" t="b">
        <v>0</v>
      </c>
      <c r="D33" s="11">
        <v>1</v>
      </c>
      <c r="E33" s="12">
        <f>IFERROR(--C33/D33,0)</f>
        <v>0</v>
      </c>
      <c r="F33" s="11" t="str">
        <f>IF(C33=TRUE,"In place","Not yet")</f>
        <v>Not yet</v>
      </c>
      <c r="G33" s="11" t="str">
        <f>IF(C33=TRUE,"","FIX")</f>
        <v>FIX</v>
      </c>
      <c r="H33" s="13" t="s">
        <v>45</v>
      </c>
    </row>
    <row r="34" ht="32" customHeight="1" spans="1:8" x14ac:dyDescent="0.25">
      <c r="A34" s="5"/>
      <c r="B34" s="9" t="s">
        <v>74</v>
      </c>
      <c r="C34" s="10" t="b">
        <v>0</v>
      </c>
      <c r="D34" s="11">
        <v>1</v>
      </c>
      <c r="E34" s="12">
        <f>IFERROR(--C34/D34,0)</f>
        <v>0</v>
      </c>
      <c r="F34" s="11" t="str">
        <f>IF(C34=TRUE,"In place","Not yet")</f>
        <v>Not yet</v>
      </c>
      <c r="G34" s="11" t="str">
        <f>IF(C34=TRUE,"","FIX")</f>
        <v>FIX</v>
      </c>
      <c r="H34" s="13" t="s">
        <v>45</v>
      </c>
    </row>
    <row r="35" ht="22" customHeight="1" spans="1:8" x14ac:dyDescent="0.25">
      <c r="A35" s="5"/>
      <c r="B35" s="2" t="s">
        <v>75</v>
      </c>
      <c r="C35" s="14">
        <f>SUM(C29:C34)</f>
      </c>
      <c r="D35" s="14">
        <f>SUM(D29:D34)</f>
      </c>
      <c r="E35" s="15">
        <f>IFERROR(C35/D35,0)</f>
      </c>
      <c r="F35" s="14">
        <f>IF(E35&gt;=0.85,"Optimized",IF(E35&gt;=0.70,"Strong",IF(E35&gt;=0.40,"Progressing","Developing")))</f>
      </c>
      <c r="G35" s="14">
        <f>IF(E35&lt;0.40,"PRIORITY","")</f>
      </c>
      <c r="H35" s="16" t="s">
        <v>45</v>
      </c>
    </row>
    <row r="36" ht="22" customHeight="1" spans="1:8" x14ac:dyDescent="0.25">
      <c r="A36" s="5"/>
      <c r="B36" s="8" t="s">
        <v>76</v>
      </c>
      <c r="C36" s="8"/>
      <c r="D36" s="8"/>
      <c r="E36" s="8"/>
      <c r="F36" s="8"/>
      <c r="G36" s="8"/>
      <c r="H36" s="8"/>
    </row>
    <row r="37" ht="32" customHeight="1" spans="1:8" x14ac:dyDescent="0.25">
      <c r="A37" s="5"/>
      <c r="B37" s="9" t="s">
        <v>77</v>
      </c>
      <c r="C37" s="10" t="b">
        <v>0</v>
      </c>
      <c r="D37" s="11">
        <v>1</v>
      </c>
      <c r="E37" s="12">
        <f>IFERROR(--C37/D37,0)</f>
        <v>0</v>
      </c>
      <c r="F37" s="11" t="str">
        <f>IF(C37=TRUE,"In place","Not yet")</f>
        <v>Not yet</v>
      </c>
      <c r="G37" s="11" t="str">
        <f>IF(C37=TRUE,"","FIX")</f>
        <v>FIX</v>
      </c>
      <c r="H37" s="13" t="s">
        <v>45</v>
      </c>
    </row>
    <row r="38" ht="32" customHeight="1" spans="1:8" x14ac:dyDescent="0.25">
      <c r="A38" s="5"/>
      <c r="B38" s="9" t="s">
        <v>78</v>
      </c>
      <c r="C38" s="10" t="b">
        <v>0</v>
      </c>
      <c r="D38" s="11">
        <v>1</v>
      </c>
      <c r="E38" s="12">
        <f>IFERROR(--C38/D38,0)</f>
        <v>0</v>
      </c>
      <c r="F38" s="11" t="str">
        <f>IF(C38=TRUE,"In place","Not yet")</f>
        <v>Not yet</v>
      </c>
      <c r="G38" s="11" t="str">
        <f>IF(C38=TRUE,"","FIX")</f>
        <v>FIX</v>
      </c>
      <c r="H38" s="13" t="s">
        <v>45</v>
      </c>
    </row>
    <row r="39" ht="32" customHeight="1" spans="1:8" x14ac:dyDescent="0.25">
      <c r="A39" s="5"/>
      <c r="B39" s="9" t="s">
        <v>79</v>
      </c>
      <c r="C39" s="10" t="b">
        <v>0</v>
      </c>
      <c r="D39" s="11">
        <v>1</v>
      </c>
      <c r="E39" s="12">
        <f>IFERROR(--C39/D39,0)</f>
        <v>0</v>
      </c>
      <c r="F39" s="11" t="str">
        <f>IF(C39=TRUE,"In place","Not yet")</f>
        <v>Not yet</v>
      </c>
      <c r="G39" s="11" t="str">
        <f>IF(C39=TRUE,"","FIX")</f>
        <v>FIX</v>
      </c>
      <c r="H39" s="13" t="s">
        <v>45</v>
      </c>
    </row>
    <row r="40" ht="32" customHeight="1" spans="1:8" x14ac:dyDescent="0.25">
      <c r="A40" s="5"/>
      <c r="B40" s="9" t="s">
        <v>80</v>
      </c>
      <c r="C40" s="10" t="b">
        <v>0</v>
      </c>
      <c r="D40" s="11">
        <v>1</v>
      </c>
      <c r="E40" s="12">
        <f>IFERROR(--C40/D40,0)</f>
        <v>0</v>
      </c>
      <c r="F40" s="11" t="str">
        <f>IF(C40=TRUE,"In place","Not yet")</f>
        <v>Not yet</v>
      </c>
      <c r="G40" s="11" t="str">
        <f>IF(C40=TRUE,"","FIX")</f>
        <v>FIX</v>
      </c>
      <c r="H40" s="13" t="s">
        <v>45</v>
      </c>
    </row>
    <row r="41" ht="32" customHeight="1" spans="1:8" x14ac:dyDescent="0.25">
      <c r="A41" s="5"/>
      <c r="B41" s="9" t="s">
        <v>81</v>
      </c>
      <c r="C41" s="10" t="b">
        <v>0</v>
      </c>
      <c r="D41" s="11">
        <v>1</v>
      </c>
      <c r="E41" s="12">
        <f>IFERROR(--C41/D41,0)</f>
        <v>0</v>
      </c>
      <c r="F41" s="11" t="str">
        <f>IF(C41=TRUE,"In place","Not yet")</f>
        <v>Not yet</v>
      </c>
      <c r="G41" s="11" t="str">
        <f>IF(C41=TRUE,"","FIX")</f>
        <v>FIX</v>
      </c>
      <c r="H41" s="13" t="s">
        <v>45</v>
      </c>
    </row>
    <row r="42" ht="32" customHeight="1" spans="1:8" x14ac:dyDescent="0.25">
      <c r="A42" s="5"/>
      <c r="B42" s="9" t="s">
        <v>82</v>
      </c>
      <c r="C42" s="10" t="b">
        <v>0</v>
      </c>
      <c r="D42" s="11">
        <v>1</v>
      </c>
      <c r="E42" s="12">
        <f>IFERROR(--C42/D42,0)</f>
        <v>0</v>
      </c>
      <c r="F42" s="11" t="str">
        <f>IF(C42=TRUE,"In place","Not yet")</f>
        <v>Not yet</v>
      </c>
      <c r="G42" s="11" t="str">
        <f>IF(C42=TRUE,"","FIX")</f>
        <v>FIX</v>
      </c>
      <c r="H42" s="13" t="s">
        <v>45</v>
      </c>
    </row>
    <row r="43" ht="22" customHeight="1" spans="1:8" x14ac:dyDescent="0.25">
      <c r="A43" s="5"/>
      <c r="B43" s="2" t="s">
        <v>83</v>
      </c>
      <c r="C43" s="14">
        <f>SUM(C37:C42)</f>
      </c>
      <c r="D43" s="14">
        <f>SUM(D37:D42)</f>
      </c>
      <c r="E43" s="15">
        <f>IFERROR(C43/D43,0)</f>
      </c>
      <c r="F43" s="14">
        <f>IF(E43&gt;=0.85,"Optimized",IF(E43&gt;=0.70,"Strong",IF(E43&gt;=0.40,"Progressing","Developing")))</f>
      </c>
      <c r="G43" s="14">
        <f>IF(E43&lt;0.40,"PRIORITY","")</f>
      </c>
      <c r="H43" s="16" t="s">
        <v>45</v>
      </c>
    </row>
    <row r="44" ht="22" customHeight="1" spans="1:8" x14ac:dyDescent="0.25">
      <c r="A44" s="5"/>
      <c r="B44" s="8" t="s">
        <v>84</v>
      </c>
      <c r="C44" s="8"/>
      <c r="D44" s="8"/>
      <c r="E44" s="8"/>
      <c r="F44" s="8"/>
      <c r="G44" s="8"/>
      <c r="H44" s="8"/>
    </row>
    <row r="45" ht="32" customHeight="1" spans="1:8" x14ac:dyDescent="0.25">
      <c r="A45" s="5"/>
      <c r="B45" s="9" t="s">
        <v>85</v>
      </c>
      <c r="C45" s="10" t="b">
        <v>0</v>
      </c>
      <c r="D45" s="11">
        <v>1</v>
      </c>
      <c r="E45" s="12">
        <f>IFERROR(--C45/D45,0)</f>
        <v>0</v>
      </c>
      <c r="F45" s="11" t="str">
        <f>IF(C45=TRUE,"In place","Not yet")</f>
        <v>Not yet</v>
      </c>
      <c r="G45" s="11" t="str">
        <f>IF(C45=TRUE,"","FIX")</f>
        <v>FIX</v>
      </c>
      <c r="H45" s="13" t="s">
        <v>45</v>
      </c>
    </row>
    <row r="46" ht="32" customHeight="1" spans="1:8" x14ac:dyDescent="0.25">
      <c r="A46" s="5"/>
      <c r="B46" s="9" t="s">
        <v>86</v>
      </c>
      <c r="C46" s="10" t="b">
        <v>0</v>
      </c>
      <c r="D46" s="11">
        <v>1</v>
      </c>
      <c r="E46" s="12">
        <f>IFERROR(--C46/D46,0)</f>
        <v>0</v>
      </c>
      <c r="F46" s="11" t="str">
        <f>IF(C46=TRUE,"In place","Not yet")</f>
        <v>Not yet</v>
      </c>
      <c r="G46" s="11" t="str">
        <f>IF(C46=TRUE,"","FIX")</f>
        <v>FIX</v>
      </c>
      <c r="H46" s="13" t="s">
        <v>45</v>
      </c>
    </row>
    <row r="47" ht="32" customHeight="1" spans="1:8" x14ac:dyDescent="0.25">
      <c r="A47" s="5"/>
      <c r="B47" s="9" t="s">
        <v>87</v>
      </c>
      <c r="C47" s="10" t="b">
        <v>0</v>
      </c>
      <c r="D47" s="11">
        <v>1</v>
      </c>
      <c r="E47" s="12">
        <f>IFERROR(--C47/D47,0)</f>
        <v>0</v>
      </c>
      <c r="F47" s="11" t="str">
        <f>IF(C47=TRUE,"In place","Not yet")</f>
        <v>Not yet</v>
      </c>
      <c r="G47" s="11" t="str">
        <f>IF(C47=TRUE,"","FIX")</f>
        <v>FIX</v>
      </c>
      <c r="H47" s="13" t="s">
        <v>45</v>
      </c>
    </row>
    <row r="48" ht="32" customHeight="1" spans="1:8" x14ac:dyDescent="0.25">
      <c r="A48" s="5"/>
      <c r="B48" s="9" t="s">
        <v>88</v>
      </c>
      <c r="C48" s="10" t="b">
        <v>0</v>
      </c>
      <c r="D48" s="11">
        <v>1</v>
      </c>
      <c r="E48" s="12">
        <f>IFERROR(--C48/D48,0)</f>
        <v>0</v>
      </c>
      <c r="F48" s="11" t="str">
        <f>IF(C48=TRUE,"In place","Not yet")</f>
        <v>Not yet</v>
      </c>
      <c r="G48" s="11" t="str">
        <f>IF(C48=TRUE,"","FIX")</f>
        <v>FIX</v>
      </c>
      <c r="H48" s="13" t="s">
        <v>45</v>
      </c>
    </row>
    <row r="49" ht="32" customHeight="1" spans="1:8" x14ac:dyDescent="0.25">
      <c r="A49" s="5"/>
      <c r="B49" s="9" t="s">
        <v>89</v>
      </c>
      <c r="C49" s="10" t="b">
        <v>0</v>
      </c>
      <c r="D49" s="11">
        <v>1</v>
      </c>
      <c r="E49" s="12">
        <f>IFERROR(--C49/D49,0)</f>
        <v>0</v>
      </c>
      <c r="F49" s="11" t="str">
        <f>IF(C49=TRUE,"In place","Not yet")</f>
        <v>Not yet</v>
      </c>
      <c r="G49" s="11" t="str">
        <f>IF(C49=TRUE,"","FIX")</f>
        <v>FIX</v>
      </c>
      <c r="H49" s="13" t="s">
        <v>45</v>
      </c>
    </row>
    <row r="50" ht="32" customHeight="1" spans="1:8" x14ac:dyDescent="0.25">
      <c r="A50" s="5"/>
      <c r="B50" s="9" t="s">
        <v>90</v>
      </c>
      <c r="C50" s="10" t="b">
        <v>0</v>
      </c>
      <c r="D50" s="11">
        <v>1</v>
      </c>
      <c r="E50" s="12">
        <f>IFERROR(--C50/D50,0)</f>
        <v>0</v>
      </c>
      <c r="F50" s="11" t="str">
        <f>IF(C50=TRUE,"In place","Not yet")</f>
        <v>Not yet</v>
      </c>
      <c r="G50" s="11" t="str">
        <f>IF(C50=TRUE,"","FIX")</f>
        <v>FIX</v>
      </c>
      <c r="H50" s="13" t="s">
        <v>45</v>
      </c>
    </row>
    <row r="51" ht="22" customHeight="1" spans="1:8" x14ac:dyDescent="0.25">
      <c r="A51" s="5"/>
      <c r="B51" s="2" t="s">
        <v>91</v>
      </c>
      <c r="C51" s="14">
        <f>SUM(C45:C50)</f>
      </c>
      <c r="D51" s="14">
        <f>SUM(D45:D50)</f>
      </c>
      <c r="E51" s="15">
        <f>IFERROR(C51/D51,0)</f>
      </c>
      <c r="F51" s="14">
        <f>IF(E51&gt;=0.85,"Optimized",IF(E51&gt;=0.70,"Strong",IF(E51&gt;=0.40,"Progressing","Developing")))</f>
      </c>
      <c r="G51" s="14">
        <f>IF(E51&lt;0.40,"PRIORITY","")</f>
      </c>
      <c r="H51" s="16" t="s">
        <v>45</v>
      </c>
    </row>
    <row r="52" ht="22" customHeight="1" spans="1:8" x14ac:dyDescent="0.25">
      <c r="A52" s="5"/>
      <c r="B52" s="8" t="s">
        <v>92</v>
      </c>
      <c r="C52" s="8"/>
      <c r="D52" s="8"/>
      <c r="E52" s="8"/>
      <c r="F52" s="8"/>
      <c r="G52" s="8"/>
      <c r="H52" s="8"/>
    </row>
    <row r="53" ht="32" customHeight="1" spans="1:8" x14ac:dyDescent="0.25">
      <c r="A53" s="5"/>
      <c r="B53" s="9" t="s">
        <v>93</v>
      </c>
      <c r="C53" s="10" t="b">
        <v>0</v>
      </c>
      <c r="D53" s="11">
        <v>1</v>
      </c>
      <c r="E53" s="12">
        <f>IFERROR(--C53/D53,0)</f>
        <v>0</v>
      </c>
      <c r="F53" s="11" t="str">
        <f>IF(C53=TRUE,"In place","Not yet")</f>
        <v>Not yet</v>
      </c>
      <c r="G53" s="11" t="str">
        <f>IF(C53=TRUE,"","FIX")</f>
        <v>FIX</v>
      </c>
      <c r="H53" s="13" t="s">
        <v>45</v>
      </c>
    </row>
    <row r="54" ht="32" customHeight="1" spans="1:8" x14ac:dyDescent="0.25">
      <c r="A54" s="5"/>
      <c r="B54" s="9" t="s">
        <v>94</v>
      </c>
      <c r="C54" s="10" t="b">
        <v>0</v>
      </c>
      <c r="D54" s="11">
        <v>1</v>
      </c>
      <c r="E54" s="12">
        <f>IFERROR(--C54/D54,0)</f>
        <v>0</v>
      </c>
      <c r="F54" s="11" t="str">
        <f>IF(C54=TRUE,"In place","Not yet")</f>
        <v>Not yet</v>
      </c>
      <c r="G54" s="11" t="str">
        <f>IF(C54=TRUE,"","FIX")</f>
        <v>FIX</v>
      </c>
      <c r="H54" s="13" t="s">
        <v>45</v>
      </c>
    </row>
    <row r="55" ht="32" customHeight="1" spans="1:8" x14ac:dyDescent="0.25">
      <c r="A55" s="5"/>
      <c r="B55" s="9" t="s">
        <v>95</v>
      </c>
      <c r="C55" s="10" t="b">
        <v>0</v>
      </c>
      <c r="D55" s="11">
        <v>1</v>
      </c>
      <c r="E55" s="12">
        <f>IFERROR(--C55/D55,0)</f>
        <v>0</v>
      </c>
      <c r="F55" s="11" t="str">
        <f>IF(C55=TRUE,"In place","Not yet")</f>
        <v>Not yet</v>
      </c>
      <c r="G55" s="11" t="str">
        <f>IF(C55=TRUE,"","FIX")</f>
        <v>FIX</v>
      </c>
      <c r="H55" s="13" t="s">
        <v>45</v>
      </c>
    </row>
    <row r="56" ht="32" customHeight="1" spans="1:8" x14ac:dyDescent="0.25">
      <c r="A56" s="5"/>
      <c r="B56" s="9" t="s">
        <v>96</v>
      </c>
      <c r="C56" s="10" t="b">
        <v>0</v>
      </c>
      <c r="D56" s="11">
        <v>1</v>
      </c>
      <c r="E56" s="12">
        <f>IFERROR(--C56/D56,0)</f>
        <v>0</v>
      </c>
      <c r="F56" s="11" t="str">
        <f>IF(C56=TRUE,"In place","Not yet")</f>
        <v>Not yet</v>
      </c>
      <c r="G56" s="11" t="str">
        <f>IF(C56=TRUE,"","FIX")</f>
        <v>FIX</v>
      </c>
      <c r="H56" s="13" t="s">
        <v>45</v>
      </c>
    </row>
    <row r="57" ht="22" customHeight="1" spans="1:8" x14ac:dyDescent="0.25">
      <c r="A57" s="5"/>
      <c r="B57" s="2" t="s">
        <v>97</v>
      </c>
      <c r="C57" s="14">
        <f>SUM(C53:C56)</f>
      </c>
      <c r="D57" s="14">
        <f>SUM(D53:D56)</f>
      </c>
      <c r="E57" s="15">
        <f>IFERROR(C57/D57,0)</f>
      </c>
      <c r="F57" s="14">
        <f>IF(E57&gt;=0.85,"Optimized",IF(E57&gt;=0.70,"Strong",IF(E57&gt;=0.40,"Progressing","Developing")))</f>
      </c>
      <c r="G57" s="14">
        <f>IF(E57&lt;0.40,"PRIORITY","")</f>
      </c>
      <c r="H57" s="16" t="s">
        <v>45</v>
      </c>
    </row>
    <row r="58" ht="36" customHeight="1" spans="1:8" x14ac:dyDescent="0.25">
      <c r="A58" s="5"/>
      <c r="B58" s="17" t="s">
        <v>98</v>
      </c>
      <c r="C58" s="17"/>
      <c r="D58" s="17"/>
      <c r="E58" s="17"/>
      <c r="F58" s="17"/>
      <c r="G58" s="17"/>
      <c r="H58" s="17"/>
    </row>
  </sheetData>
  <sheetProtection sheet="1"/>
  <mergeCells count="10">
    <mergeCell ref="B1:H1"/>
    <mergeCell ref="B2:H2"/>
    <mergeCell ref="B4:H4"/>
    <mergeCell ref="B12:H12"/>
    <mergeCell ref="B20:H20"/>
    <mergeCell ref="B28:H28"/>
    <mergeCell ref="B36:H36"/>
    <mergeCell ref="B44:H44"/>
    <mergeCell ref="B52:H52"/>
    <mergeCell ref="B58:H58"/>
  </mergeCells>
  <conditionalFormatting sqref="E11">
    <cfRule type="cellIs" dxfId="0" priority="1" operator="greaterThanOrEqual">
      <formula>0.85</formula>
    </cfRule>
    <cfRule type="cellIs" dxfId="1" priority="2" operator="between">
      <formula>0.4</formula>
      <formula>0.8499</formula>
    </cfRule>
    <cfRule type="cellIs" dxfId="2" priority="3" operator="lessThan">
      <formula>0.4</formula>
    </cfRule>
  </conditionalFormatting>
  <conditionalFormatting sqref="E19">
    <cfRule type="cellIs" dxfId="3" priority="1" operator="greaterThanOrEqual">
      <formula>0.85</formula>
    </cfRule>
    <cfRule type="cellIs" dxfId="4" priority="2" operator="between">
      <formula>0.4</formula>
      <formula>0.8499</formula>
    </cfRule>
    <cfRule type="cellIs" dxfId="5" priority="3" operator="lessThan">
      <formula>0.4</formula>
    </cfRule>
  </conditionalFormatting>
  <conditionalFormatting sqref="E27">
    <cfRule type="cellIs" dxfId="6" priority="1" operator="greaterThanOrEqual">
      <formula>0.85</formula>
    </cfRule>
    <cfRule type="cellIs" dxfId="7" priority="2" operator="between">
      <formula>0.4</formula>
      <formula>0.8499</formula>
    </cfRule>
    <cfRule type="cellIs" dxfId="8" priority="3" operator="lessThan">
      <formula>0.4</formula>
    </cfRule>
  </conditionalFormatting>
  <conditionalFormatting sqref="E35">
    <cfRule type="cellIs" dxfId="9" priority="1" operator="greaterThanOrEqual">
      <formula>0.85</formula>
    </cfRule>
    <cfRule type="cellIs" dxfId="10" priority="2" operator="between">
      <formula>0.4</formula>
      <formula>0.8499</formula>
    </cfRule>
    <cfRule type="cellIs" dxfId="11" priority="3" operator="lessThan">
      <formula>0.4</formula>
    </cfRule>
  </conditionalFormatting>
  <conditionalFormatting sqref="E43">
    <cfRule type="cellIs" dxfId="12" priority="1" operator="greaterThanOrEqual">
      <formula>0.85</formula>
    </cfRule>
    <cfRule type="cellIs" dxfId="13" priority="2" operator="between">
      <formula>0.4</formula>
      <formula>0.8499</formula>
    </cfRule>
    <cfRule type="cellIs" dxfId="14" priority="3" operator="lessThan">
      <formula>0.4</formula>
    </cfRule>
  </conditionalFormatting>
  <conditionalFormatting sqref="E51">
    <cfRule type="cellIs" dxfId="15" priority="1" operator="greaterThanOrEqual">
      <formula>0.85</formula>
    </cfRule>
    <cfRule type="cellIs" dxfId="16" priority="2" operator="between">
      <formula>0.4</formula>
      <formula>0.8499</formula>
    </cfRule>
    <cfRule type="cellIs" dxfId="17" priority="3" operator="lessThan">
      <formula>0.4</formula>
    </cfRule>
  </conditionalFormatting>
  <conditionalFormatting sqref="E57">
    <cfRule type="cellIs" dxfId="18" priority="1" operator="greaterThanOrEqual">
      <formula>0.85</formula>
    </cfRule>
    <cfRule type="cellIs" dxfId="19" priority="2" operator="between">
      <formula>0.4</formula>
      <formula>0.8499</formula>
    </cfRule>
    <cfRule type="cellIs" dxfId="20" priority="3" operator="lessThan">
      <formula>0.4</formula>
    </cfRule>
  </conditionalFormatting>
  <conditionalFormatting sqref="B5:H5">
    <cfRule type="expression" dxfId="21" priority="1">
      <formula>$C5=TRUE</formula>
    </cfRule>
  </conditionalFormatting>
  <conditionalFormatting sqref="B6:H6">
    <cfRule type="expression" dxfId="22" priority="1">
      <formula>$C6=TRUE</formula>
    </cfRule>
  </conditionalFormatting>
  <conditionalFormatting sqref="B7:H7">
    <cfRule type="expression" dxfId="23" priority="1">
      <formula>$C7=TRUE</formula>
    </cfRule>
  </conditionalFormatting>
  <conditionalFormatting sqref="B8:H8">
    <cfRule type="expression" dxfId="24" priority="1">
      <formula>$C8=TRUE</formula>
    </cfRule>
  </conditionalFormatting>
  <conditionalFormatting sqref="B9:H9">
    <cfRule type="expression" dxfId="25" priority="1">
      <formula>$C9=TRUE</formula>
    </cfRule>
  </conditionalFormatting>
  <conditionalFormatting sqref="B10:H10">
    <cfRule type="expression" dxfId="26" priority="1">
      <formula>$C10=TRUE</formula>
    </cfRule>
  </conditionalFormatting>
  <conditionalFormatting sqref="B13:H13">
    <cfRule type="expression" dxfId="27" priority="1">
      <formula>$C13=TRUE</formula>
    </cfRule>
  </conditionalFormatting>
  <conditionalFormatting sqref="B14:H14">
    <cfRule type="expression" dxfId="28" priority="1">
      <formula>$C14=TRUE</formula>
    </cfRule>
  </conditionalFormatting>
  <conditionalFormatting sqref="B15:H15">
    <cfRule type="expression" dxfId="29" priority="1">
      <formula>$C15=TRUE</formula>
    </cfRule>
  </conditionalFormatting>
  <conditionalFormatting sqref="B16:H16">
    <cfRule type="expression" dxfId="30" priority="1">
      <formula>$C16=TRUE</formula>
    </cfRule>
  </conditionalFormatting>
  <conditionalFormatting sqref="B17:H17">
    <cfRule type="expression" dxfId="31" priority="1">
      <formula>$C17=TRUE</formula>
    </cfRule>
  </conditionalFormatting>
  <conditionalFormatting sqref="B18:H18">
    <cfRule type="expression" dxfId="32" priority="1">
      <formula>$C18=TRUE</formula>
    </cfRule>
  </conditionalFormatting>
  <conditionalFormatting sqref="B21:H21">
    <cfRule type="expression" dxfId="33" priority="1">
      <formula>$C21=TRUE</formula>
    </cfRule>
  </conditionalFormatting>
  <conditionalFormatting sqref="B22:H22">
    <cfRule type="expression" dxfId="34" priority="1">
      <formula>$C22=TRUE</formula>
    </cfRule>
  </conditionalFormatting>
  <conditionalFormatting sqref="B23:H23">
    <cfRule type="expression" dxfId="35" priority="1">
      <formula>$C23=TRUE</formula>
    </cfRule>
  </conditionalFormatting>
  <conditionalFormatting sqref="B24:H24">
    <cfRule type="expression" dxfId="36" priority="1">
      <formula>$C24=TRUE</formula>
    </cfRule>
  </conditionalFormatting>
  <conditionalFormatting sqref="B25:H25">
    <cfRule type="expression" dxfId="37" priority="1">
      <formula>$C25=TRUE</formula>
    </cfRule>
  </conditionalFormatting>
  <conditionalFormatting sqref="B26:H26">
    <cfRule type="expression" dxfId="38" priority="1">
      <formula>$C26=TRUE</formula>
    </cfRule>
  </conditionalFormatting>
  <conditionalFormatting sqref="B29:H29">
    <cfRule type="expression" dxfId="39" priority="1">
      <formula>$C29=TRUE</formula>
    </cfRule>
  </conditionalFormatting>
  <conditionalFormatting sqref="B30:H30">
    <cfRule type="expression" dxfId="40" priority="1">
      <formula>$C30=TRUE</formula>
    </cfRule>
  </conditionalFormatting>
  <conditionalFormatting sqref="B31:H31">
    <cfRule type="expression" dxfId="41" priority="1">
      <formula>$C31=TRUE</formula>
    </cfRule>
  </conditionalFormatting>
  <conditionalFormatting sqref="B32:H32">
    <cfRule type="expression" dxfId="42" priority="1">
      <formula>$C32=TRUE</formula>
    </cfRule>
  </conditionalFormatting>
  <conditionalFormatting sqref="B33:H33">
    <cfRule type="expression" dxfId="43" priority="1">
      <formula>$C33=TRUE</formula>
    </cfRule>
  </conditionalFormatting>
  <conditionalFormatting sqref="B34:H34">
    <cfRule type="expression" dxfId="44" priority="1">
      <formula>$C34=TRUE</formula>
    </cfRule>
  </conditionalFormatting>
  <conditionalFormatting sqref="B37:H37">
    <cfRule type="expression" dxfId="45" priority="1">
      <formula>$C37=TRUE</formula>
    </cfRule>
  </conditionalFormatting>
  <conditionalFormatting sqref="B38:H38">
    <cfRule type="expression" dxfId="46" priority="1">
      <formula>$C38=TRUE</formula>
    </cfRule>
  </conditionalFormatting>
  <conditionalFormatting sqref="B39:H39">
    <cfRule type="expression" dxfId="47" priority="1">
      <formula>$C39=TRUE</formula>
    </cfRule>
  </conditionalFormatting>
  <conditionalFormatting sqref="B40:H40">
    <cfRule type="expression" dxfId="48" priority="1">
      <formula>$C40=TRUE</formula>
    </cfRule>
  </conditionalFormatting>
  <conditionalFormatting sqref="B41:H41">
    <cfRule type="expression" dxfId="49" priority="1">
      <formula>$C41=TRUE</formula>
    </cfRule>
  </conditionalFormatting>
  <conditionalFormatting sqref="B42:H42">
    <cfRule type="expression" dxfId="50" priority="1">
      <formula>$C42=TRUE</formula>
    </cfRule>
  </conditionalFormatting>
  <conditionalFormatting sqref="B45:H45">
    <cfRule type="expression" dxfId="51" priority="1">
      <formula>$C45=TRUE</formula>
    </cfRule>
  </conditionalFormatting>
  <conditionalFormatting sqref="B46:H46">
    <cfRule type="expression" dxfId="52" priority="1">
      <formula>$C46=TRUE</formula>
    </cfRule>
  </conditionalFormatting>
  <conditionalFormatting sqref="B47:H47">
    <cfRule type="expression" dxfId="53" priority="1">
      <formula>$C47=TRUE</formula>
    </cfRule>
  </conditionalFormatting>
  <conditionalFormatting sqref="B48:H48">
    <cfRule type="expression" dxfId="54" priority="1">
      <formula>$C48=TRUE</formula>
    </cfRule>
  </conditionalFormatting>
  <conditionalFormatting sqref="B49:H49">
    <cfRule type="expression" dxfId="55" priority="1">
      <formula>$C49=TRUE</formula>
    </cfRule>
  </conditionalFormatting>
  <conditionalFormatting sqref="B50:H50">
    <cfRule type="expression" dxfId="56" priority="1">
      <formula>$C50=TRUE</formula>
    </cfRule>
  </conditionalFormatting>
  <conditionalFormatting sqref="B53:H53">
    <cfRule type="expression" dxfId="57" priority="1">
      <formula>$C53=TRUE</formula>
    </cfRule>
  </conditionalFormatting>
  <conditionalFormatting sqref="B54:H54">
    <cfRule type="expression" dxfId="58" priority="1">
      <formula>$C54=TRUE</formula>
    </cfRule>
  </conditionalFormatting>
  <conditionalFormatting sqref="B55:H55">
    <cfRule type="expression" dxfId="59" priority="1">
      <formula>$C55=TRUE</formula>
    </cfRule>
  </conditionalFormatting>
  <conditionalFormatting sqref="B56:H56">
    <cfRule type="expression" dxfId="60" priority="1">
      <formula>$C56=TRUE</formula>
    </cfRule>
  </conditionalFormatting>
  <conditionalFormatting sqref="B5:H5">
    <cfRule type="expression" dxfId="61" priority="1">
      <formula>$C5=TRUE</formula>
    </cfRule>
  </conditionalFormatting>
  <conditionalFormatting sqref="B6:H6">
    <cfRule type="expression" dxfId="62" priority="1">
      <formula>$C6=TRUE</formula>
    </cfRule>
  </conditionalFormatting>
  <conditionalFormatting sqref="B7:H7">
    <cfRule type="expression" dxfId="63" priority="1">
      <formula>$C7=TRUE</formula>
    </cfRule>
  </conditionalFormatting>
  <conditionalFormatting sqref="B8:H8">
    <cfRule type="expression" dxfId="64" priority="1">
      <formula>$C8=TRUE</formula>
    </cfRule>
  </conditionalFormatting>
  <conditionalFormatting sqref="B9:H9">
    <cfRule type="expression" dxfId="65" priority="1">
      <formula>$C9=TRUE</formula>
    </cfRule>
  </conditionalFormatting>
  <conditionalFormatting sqref="B10:H10">
    <cfRule type="expression" dxfId="66" priority="1">
      <formula>$C10=TRUE</formula>
    </cfRule>
  </conditionalFormatting>
  <conditionalFormatting sqref="B13:H13">
    <cfRule type="expression" dxfId="67" priority="1">
      <formula>$C13=TRUE</formula>
    </cfRule>
  </conditionalFormatting>
  <conditionalFormatting sqref="B14:H14">
    <cfRule type="expression" dxfId="68" priority="1">
      <formula>$C14=TRUE</formula>
    </cfRule>
  </conditionalFormatting>
  <conditionalFormatting sqref="B15:H15">
    <cfRule type="expression" dxfId="69" priority="1">
      <formula>$C15=TRUE</formula>
    </cfRule>
  </conditionalFormatting>
  <conditionalFormatting sqref="B16:H16">
    <cfRule type="expression" dxfId="70" priority="1">
      <formula>$C16=TRUE</formula>
    </cfRule>
  </conditionalFormatting>
  <conditionalFormatting sqref="B17:H17">
    <cfRule type="expression" dxfId="71" priority="1">
      <formula>$C17=TRUE</formula>
    </cfRule>
  </conditionalFormatting>
  <conditionalFormatting sqref="B18:H18">
    <cfRule type="expression" dxfId="72" priority="1">
      <formula>$C18=TRUE</formula>
    </cfRule>
  </conditionalFormatting>
  <conditionalFormatting sqref="B21:H21">
    <cfRule type="expression" dxfId="73" priority="1">
      <formula>$C21=TRUE</formula>
    </cfRule>
  </conditionalFormatting>
  <conditionalFormatting sqref="B22:H22">
    <cfRule type="expression" dxfId="74" priority="1">
      <formula>$C22=TRUE</formula>
    </cfRule>
  </conditionalFormatting>
  <conditionalFormatting sqref="B23:H23">
    <cfRule type="expression" dxfId="75" priority="1">
      <formula>$C23=TRUE</formula>
    </cfRule>
  </conditionalFormatting>
  <conditionalFormatting sqref="B24:H24">
    <cfRule type="expression" dxfId="76" priority="1">
      <formula>$C24=TRUE</formula>
    </cfRule>
  </conditionalFormatting>
  <conditionalFormatting sqref="B25:H25">
    <cfRule type="expression" dxfId="77" priority="1">
      <formula>$C25=TRUE</formula>
    </cfRule>
  </conditionalFormatting>
  <conditionalFormatting sqref="B26:H26">
    <cfRule type="expression" dxfId="78" priority="1">
      <formula>$C26=TRUE</formula>
    </cfRule>
  </conditionalFormatting>
  <conditionalFormatting sqref="B29:H29">
    <cfRule type="expression" dxfId="79" priority="1">
      <formula>$C29=TRUE</formula>
    </cfRule>
  </conditionalFormatting>
  <conditionalFormatting sqref="B30:H30">
    <cfRule type="expression" dxfId="80" priority="1">
      <formula>$C30=TRUE</formula>
    </cfRule>
  </conditionalFormatting>
  <conditionalFormatting sqref="B31:H31">
    <cfRule type="expression" dxfId="81" priority="1">
      <formula>$C31=TRUE</formula>
    </cfRule>
  </conditionalFormatting>
  <conditionalFormatting sqref="B32:H32">
    <cfRule type="expression" dxfId="82" priority="1">
      <formula>$C32=TRUE</formula>
    </cfRule>
  </conditionalFormatting>
  <conditionalFormatting sqref="B33:H33">
    <cfRule type="expression" dxfId="83" priority="1">
      <formula>$C33=TRUE</formula>
    </cfRule>
  </conditionalFormatting>
  <conditionalFormatting sqref="B34:H34">
    <cfRule type="expression" dxfId="84" priority="1">
      <formula>$C34=TRUE</formula>
    </cfRule>
  </conditionalFormatting>
  <conditionalFormatting sqref="B37:H37">
    <cfRule type="expression" dxfId="85" priority="1">
      <formula>$C37=TRUE</formula>
    </cfRule>
  </conditionalFormatting>
  <conditionalFormatting sqref="B38:H38">
    <cfRule type="expression" dxfId="86" priority="1">
      <formula>$C38=TRUE</formula>
    </cfRule>
  </conditionalFormatting>
  <conditionalFormatting sqref="B39:H39">
    <cfRule type="expression" dxfId="87" priority="1">
      <formula>$C39=TRUE</formula>
    </cfRule>
  </conditionalFormatting>
  <conditionalFormatting sqref="B40:H40">
    <cfRule type="expression" dxfId="88" priority="1">
      <formula>$C40=TRUE</formula>
    </cfRule>
  </conditionalFormatting>
  <conditionalFormatting sqref="B41:H41">
    <cfRule type="expression" dxfId="89" priority="1">
      <formula>$C41=TRUE</formula>
    </cfRule>
  </conditionalFormatting>
  <conditionalFormatting sqref="B42:H42">
    <cfRule type="expression" dxfId="90" priority="1">
      <formula>$C42=TRUE</formula>
    </cfRule>
  </conditionalFormatting>
  <conditionalFormatting sqref="B45:H45">
    <cfRule type="expression" dxfId="91" priority="1">
      <formula>$C45=TRUE</formula>
    </cfRule>
  </conditionalFormatting>
  <conditionalFormatting sqref="B46:H46">
    <cfRule type="expression" dxfId="92" priority="1">
      <formula>$C46=TRUE</formula>
    </cfRule>
  </conditionalFormatting>
  <conditionalFormatting sqref="B47:H47">
    <cfRule type="expression" dxfId="93" priority="1">
      <formula>$C47=TRUE</formula>
    </cfRule>
  </conditionalFormatting>
  <conditionalFormatting sqref="B48:H48">
    <cfRule type="expression" dxfId="94" priority="1">
      <formula>$C48=TRUE</formula>
    </cfRule>
  </conditionalFormatting>
  <conditionalFormatting sqref="B49:H49">
    <cfRule type="expression" dxfId="95" priority="1">
      <formula>$C49=TRUE</formula>
    </cfRule>
  </conditionalFormatting>
  <conditionalFormatting sqref="B50:H50">
    <cfRule type="expression" dxfId="96" priority="1">
      <formula>$C50=TRUE</formula>
    </cfRule>
  </conditionalFormatting>
  <conditionalFormatting sqref="B53:H53">
    <cfRule type="expression" dxfId="97" priority="1">
      <formula>$C53=TRUE</formula>
    </cfRule>
  </conditionalFormatting>
  <conditionalFormatting sqref="B54:H54">
    <cfRule type="expression" dxfId="98" priority="1">
      <formula>$C54=TRUE</formula>
    </cfRule>
  </conditionalFormatting>
  <conditionalFormatting sqref="B55:H55">
    <cfRule type="expression" dxfId="99" priority="1">
      <formula>$C55=TRUE</formula>
    </cfRule>
  </conditionalFormatting>
  <conditionalFormatting sqref="B56:H56">
    <cfRule type="expression" dxfId="100" priority="1">
      <formula>$C56=TRUE</formula>
    </cfRule>
  </conditionalFormatting>
  <dataValidations count="8">
    <dataValidation type="list" sqref="C10">
      <formula1>"TRUE,FALSE"</formula1>
    </dataValidation>
    <dataValidation type="list" sqref="C13:C18">
      <formula1>"TRUE,FALSE"</formula1>
    </dataValidation>
    <dataValidation type="list" sqref="C21:C26">
      <formula1>"TRUE,FALSE"</formula1>
    </dataValidation>
    <dataValidation type="list" sqref="C29:C34">
      <formula1>"TRUE,FALSE"</formula1>
    </dataValidation>
    <dataValidation type="list" sqref="C37:C42">
      <formula1>"TRUE,FALSE"</formula1>
    </dataValidation>
    <dataValidation type="list" sqref="C45:C50">
      <formula1>"TRUE,FALSE"</formula1>
    </dataValidation>
    <dataValidation type="list" sqref="C5:C10">
      <formula1>"TRUE,FALSE"</formula1>
    </dataValidation>
    <dataValidation type="list" sqref="C53:C56">
      <formula1>"TRUE,FALSE"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  <headerFooter>
    <oddHeader>&amp;LCapturePilot &amp;C Capture Maturity Self-Audit &amp;RFederal Lead Kit</oddHeader>
    <oddFooter>&amp;LScore honestly &amp;C Page &amp;P of &amp;N &amp;Rcapturepilot.com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4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4" width="14" customWidth="1"/>
    <col min="5" max="5" width="18" customWidth="1"/>
    <col min="6" max="6" width="16" customWidth="1"/>
    <col min="7" max="7" width="12" customWidth="1"/>
    <col min="8" max="8" width="32" customWidth="1"/>
  </cols>
  <sheetData>
    <row r="1" ht="26" customHeight="1" spans="2:8" x14ac:dyDescent="0.25">
      <c r="B1" s="1" t="s">
        <v>99</v>
      </c>
      <c r="C1" s="1"/>
      <c r="D1" s="1"/>
      <c r="E1" s="1"/>
      <c r="F1" s="1"/>
      <c r="G1" s="1"/>
      <c r="H1" s="1"/>
    </row>
    <row r="3" ht="22" customHeight="1" spans="2:8" x14ac:dyDescent="0.25">
      <c r="B3" s="7" t="s">
        <v>100</v>
      </c>
      <c r="C3" s="7" t="s">
        <v>101</v>
      </c>
      <c r="D3" s="7" t="s">
        <v>102</v>
      </c>
      <c r="E3" s="7" t="s">
        <v>103</v>
      </c>
      <c r="F3" s="7" t="s">
        <v>104</v>
      </c>
      <c r="G3" s="7" t="s">
        <v>105</v>
      </c>
      <c r="H3" s="7" t="s">
        <v>106</v>
      </c>
    </row>
    <row r="4" ht="28" customHeight="1" spans="2:8" x14ac:dyDescent="0.25">
      <c r="B4" s="3" t="s">
        <v>107</v>
      </c>
      <c r="C4" s="12">
        <v>0.15</v>
      </c>
      <c r="D4" s="12">
        <f>'Self-Audit'!E11</f>
      </c>
      <c r="E4" s="18">
        <f>C4*D4</f>
      </c>
      <c r="F4" s="12">
        <v>0.75</v>
      </c>
      <c r="G4" s="12">
        <f>F4-D4</f>
      </c>
      <c r="H4" s="19">
        <f>IF(D4&lt;0.40,"Build agency target list; set SAM.gov alerts; pull FPDS incumbent data on top 5 contracts.","On track — maintain")</f>
      </c>
    </row>
    <row r="5" ht="28" customHeight="1" spans="2:8" x14ac:dyDescent="0.25">
      <c r="B5" s="3" t="s">
        <v>108</v>
      </c>
      <c r="C5" s="12">
        <v>0.2</v>
      </c>
      <c r="D5" s="12">
        <f>'Self-Audit'!E19</f>
      </c>
      <c r="E5" s="18">
        <f>C5*D5</f>
      </c>
      <c r="F5" s="12">
        <v>0.75</v>
      </c>
      <c r="G5" s="12">
        <f>F5-D5</f>
      </c>
      <c r="H5" s="19">
        <f>IF(D5&lt;0.40,"Implement a stage-gate capture process; start pursuits at 6+ months pre-RFP; require PWin per row.","On track — maintain")</f>
      </c>
    </row>
    <row r="6" ht="28" customHeight="1" spans="2:8" x14ac:dyDescent="0.25">
      <c r="B6" s="3" t="s">
        <v>109</v>
      </c>
      <c r="C6" s="12">
        <v>0.15</v>
      </c>
      <c r="D6" s="12">
        <f>'Self-Audit'!E27</f>
      </c>
      <c r="E6" s="18">
        <f>C6*D6</f>
      </c>
      <c r="F6" s="12">
        <v>0.75</v>
      </c>
      <c r="G6" s="12">
        <f>F6-D6</f>
      </c>
      <c r="H6" s="19">
        <f>IF(D6&lt;0.40,"Book 2 OSDBU briefings this quarter; attend industry days consistently; build 2 prime relationships.","On track — maintain")</f>
      </c>
    </row>
    <row r="7" ht="28" customHeight="1" spans="2:8" x14ac:dyDescent="0.25">
      <c r="B7" s="3" t="s">
        <v>110</v>
      </c>
      <c r="C7" s="12">
        <v>0.2</v>
      </c>
      <c r="D7" s="12">
        <f>'Self-Audit'!E35</f>
      </c>
      <c r="E7" s="18">
        <f>C7*D7</f>
      </c>
      <c r="F7" s="12">
        <v>0.75</v>
      </c>
      <c r="G7" s="12">
        <f>F7-D7</f>
      </c>
      <c r="H7" s="19">
        <f>IF(D7&lt;0.40,"Install color team reviews; build a Section L/M compliance matrix template; price to win, not to margin.","On track — maintain")</f>
      </c>
    </row>
    <row r="8" ht="28" customHeight="1" spans="2:8" x14ac:dyDescent="0.25">
      <c r="B8" s="3" t="s">
        <v>111</v>
      </c>
      <c r="C8" s="12">
        <v>0.15</v>
      </c>
      <c r="D8" s="12">
        <f>'Self-Audit'!E43</f>
      </c>
      <c r="E8" s="18">
        <f>C8*D8</f>
      </c>
      <c r="F8" s="12">
        <v>0.75</v>
      </c>
      <c r="G8" s="12">
        <f>F8-D8</f>
      </c>
      <c r="H8" s="19">
        <f>IF(D8&lt;0.40,"Build 5 structured PP write-ups (CPARS format); collect every CPARS score on file.","On track — maintain")</f>
      </c>
    </row>
    <row r="9" ht="28" customHeight="1" spans="2:8" x14ac:dyDescent="0.25">
      <c r="B9" s="3" t="s">
        <v>112</v>
      </c>
      <c r="C9" s="12">
        <v>0.1</v>
      </c>
      <c r="D9" s="12">
        <f>'Self-Audit'!E51</f>
      </c>
      <c r="E9" s="18">
        <f>C9*D9</f>
      </c>
      <c r="F9" s="12">
        <v>0.75</v>
      </c>
      <c r="G9" s="12">
        <f>F9-D9</f>
      </c>
      <c r="H9" s="19">
        <f>IF(D9&lt;0.40,"Renew SAM; verify certifications; document COI process; review NAICS size standards.","On track — maintain")</f>
      </c>
    </row>
    <row r="10" ht="28" customHeight="1" spans="2:8" x14ac:dyDescent="0.25">
      <c r="B10" s="3" t="s">
        <v>113</v>
      </c>
      <c r="C10" s="12">
        <v>0.05</v>
      </c>
      <c r="D10" s="12">
        <f>'Self-Audit'!E57</f>
      </c>
      <c r="E10" s="18">
        <f>C10*D10</f>
      </c>
      <c r="F10" s="12">
        <v>0.75</v>
      </c>
      <c r="G10" s="12">
        <f>F10-D10</f>
      </c>
      <c r="H10" s="19">
        <f>IF(D10&lt;0.40,"Write the BD strategy; install a CRM; refresh the capability statement per top agency.","On track — maintain")</f>
      </c>
    </row>
    <row r="11" ht="26" customHeight="1" spans="2:8" x14ac:dyDescent="0.25">
      <c r="B11" s="2" t="s">
        <v>114</v>
      </c>
      <c r="C11" s="15">
        <f>SUM(C4:C10)</f>
      </c>
      <c r="D11" s="15">
        <f>SUMPRODUCT(C4:C10,D4:D10)/SUM(C4:C10)</f>
      </c>
      <c r="E11" s="20">
        <f>SUM(E4:E10)</f>
      </c>
      <c r="F11" s="15">
        <f>0.75</f>
      </c>
      <c r="G11" s="15">
        <f>F11-D11</f>
      </c>
      <c r="H11" s="21">
        <f>IF(D11&gt;=0.85,"Optimized — keep refining",IF(D11&gt;=0.70,"Strong — work the gaps",IF(D11&gt;=0.40,"Progressing — pick 3 priorities","Developing — work the 30-day plan")))</f>
      </c>
    </row>
    <row r="13" ht="22" customHeight="1" spans="2:8" x14ac:dyDescent="0.25">
      <c r="B13" s="1" t="s">
        <v>115</v>
      </c>
      <c r="C13" s="1"/>
      <c r="D13" s="1"/>
      <c r="E13" s="1"/>
      <c r="F13" s="1"/>
      <c r="G13" s="1"/>
      <c r="H13" s="1"/>
    </row>
    <row r="14" ht="32" customHeight="1" spans="2:8" x14ac:dyDescent="0.25">
      <c r="B14" s="22" t="s">
        <v>116</v>
      </c>
      <c r="C14" s="4" t="s">
        <v>117</v>
      </c>
      <c r="D14" s="3" t="s">
        <v>118</v>
      </c>
      <c r="E14" s="3"/>
      <c r="F14" s="3"/>
      <c r="G14" s="3"/>
      <c r="H14" s="3"/>
    </row>
    <row r="15" ht="32" customHeight="1" spans="2:8" x14ac:dyDescent="0.25">
      <c r="B15" s="22" t="s">
        <v>119</v>
      </c>
      <c r="C15" s="4" t="s">
        <v>120</v>
      </c>
      <c r="D15" s="3" t="s">
        <v>121</v>
      </c>
      <c r="E15" s="3"/>
      <c r="F15" s="3"/>
      <c r="G15" s="3"/>
      <c r="H15" s="3"/>
    </row>
    <row r="16" ht="32" customHeight="1" spans="2:8" x14ac:dyDescent="0.25">
      <c r="B16" s="22" t="s">
        <v>122</v>
      </c>
      <c r="C16" s="4" t="s">
        <v>123</v>
      </c>
      <c r="D16" s="3" t="s">
        <v>124</v>
      </c>
      <c r="E16" s="3"/>
      <c r="F16" s="3"/>
      <c r="G16" s="3"/>
      <c r="H16" s="3"/>
    </row>
    <row r="17" ht="32" customHeight="1" spans="2:8" x14ac:dyDescent="0.25">
      <c r="B17" s="22" t="s">
        <v>125</v>
      </c>
      <c r="C17" s="4" t="s">
        <v>126</v>
      </c>
      <c r="D17" s="3" t="s">
        <v>127</v>
      </c>
      <c r="E17" s="3"/>
      <c r="F17" s="3"/>
      <c r="G17" s="3"/>
      <c r="H17" s="3"/>
    </row>
    <row r="19" ht="28" customHeight="1" spans="2:8" x14ac:dyDescent="0.25">
      <c r="B19" s="23" t="s">
        <v>128</v>
      </c>
      <c r="C19" s="23"/>
      <c r="D19" s="24">
        <f>IF(D11&gt;=0.85,"OPTIMIZED",IF(D11&gt;=0.70,"STRONG",IF(D11&gt;=0.40,"PROGRESSING","DEVELOPING")))</f>
      </c>
      <c r="E19" s="24"/>
      <c r="F19" s="24"/>
      <c r="G19" s="24"/>
      <c r="H19" s="24"/>
    </row>
    <row r="21" ht="22" customHeight="1" spans="2:8" x14ac:dyDescent="0.25">
      <c r="B21" s="1" t="s">
        <v>129</v>
      </c>
      <c r="C21" s="1"/>
      <c r="D21" s="1"/>
      <c r="E21" s="1"/>
      <c r="F21" s="1"/>
      <c r="G21" s="1"/>
      <c r="H21" s="1"/>
    </row>
    <row r="22" ht="32" customHeight="1" spans="2:8" x14ac:dyDescent="0.25">
      <c r="B22" s="22" t="s">
        <v>130</v>
      </c>
      <c r="C22" s="19">
        <f>INDEX(B4:B10,MATCH(SMALL(D4:D10,1),D4:D10,0))</f>
      </c>
      <c r="D22" s="12">
        <f>SMALL(D4:D10,1)</f>
      </c>
      <c r="E22" s="19">
        <f>INDEX(H4:H10,MATCH(SMALL(D4:D10,1),D4:D10,0))</f>
      </c>
      <c r="F22" s="19"/>
      <c r="G22" s="19"/>
      <c r="H22" s="19"/>
    </row>
    <row r="23" ht="32" customHeight="1" spans="2:8" x14ac:dyDescent="0.25">
      <c r="B23" s="22" t="s">
        <v>131</v>
      </c>
      <c r="C23" s="19">
        <f>INDEX(B4:B10,MATCH(SMALL(D4:D10,2),D4:D10,0))</f>
      </c>
      <c r="D23" s="12">
        <f>SMALL(D4:D10,2)</f>
      </c>
      <c r="E23" s="19">
        <f>INDEX(H4:H10,MATCH(SMALL(D4:D10,2),D4:D10,0))</f>
      </c>
      <c r="F23" s="19"/>
      <c r="G23" s="19"/>
      <c r="H23" s="19"/>
    </row>
    <row r="24" ht="32" customHeight="1" spans="2:8" x14ac:dyDescent="0.25">
      <c r="B24" s="22" t="s">
        <v>132</v>
      </c>
      <c r="C24" s="19">
        <f>INDEX(B4:B10,MATCH(SMALL(D4:D10,3),D4:D10,0))</f>
      </c>
      <c r="D24" s="12">
        <f>SMALL(D4:D10,3)</f>
      </c>
      <c r="E24" s="19">
        <f>INDEX(H4:H10,MATCH(SMALL(D4:D10,3),D4:D10,0))</f>
      </c>
      <c r="F24" s="19"/>
      <c r="G24" s="19"/>
      <c r="H24" s="19"/>
    </row>
  </sheetData>
  <mergeCells count="12">
    <mergeCell ref="B1:H1"/>
    <mergeCell ref="B13:H13"/>
    <mergeCell ref="D14:H14"/>
    <mergeCell ref="D15:H15"/>
    <mergeCell ref="D16:H16"/>
    <mergeCell ref="D17:H17"/>
    <mergeCell ref="B19:C19"/>
    <mergeCell ref="D19:H19"/>
    <mergeCell ref="B21:H21"/>
    <mergeCell ref="E22:H22"/>
    <mergeCell ref="E23:H23"/>
    <mergeCell ref="E24:H24"/>
  </mergeCells>
  <conditionalFormatting sqref="D4">
    <cfRule type="cellIs" dxfId="101" priority="1" operator="greaterThanOrEqual">
      <formula>0.85</formula>
    </cfRule>
    <cfRule type="cellIs" dxfId="102" priority="2" operator="between">
      <formula>0.4</formula>
      <formula>0.8499</formula>
    </cfRule>
    <cfRule type="cellIs" dxfId="103" priority="3" operator="lessThan">
      <formula>0.4</formula>
    </cfRule>
  </conditionalFormatting>
  <conditionalFormatting sqref="D5">
    <cfRule type="cellIs" dxfId="104" priority="1" operator="greaterThanOrEqual">
      <formula>0.85</formula>
    </cfRule>
    <cfRule type="cellIs" dxfId="105" priority="2" operator="between">
      <formula>0.4</formula>
      <formula>0.8499</formula>
    </cfRule>
    <cfRule type="cellIs" dxfId="106" priority="3" operator="lessThan">
      <formula>0.4</formula>
    </cfRule>
  </conditionalFormatting>
  <conditionalFormatting sqref="D6">
    <cfRule type="cellIs" dxfId="107" priority="1" operator="greaterThanOrEqual">
      <formula>0.85</formula>
    </cfRule>
    <cfRule type="cellIs" dxfId="108" priority="2" operator="between">
      <formula>0.4</formula>
      <formula>0.8499</formula>
    </cfRule>
    <cfRule type="cellIs" dxfId="109" priority="3" operator="lessThan">
      <formula>0.4</formula>
    </cfRule>
  </conditionalFormatting>
  <conditionalFormatting sqref="D7">
    <cfRule type="cellIs" dxfId="110" priority="1" operator="greaterThanOrEqual">
      <formula>0.85</formula>
    </cfRule>
    <cfRule type="cellIs" dxfId="111" priority="2" operator="between">
      <formula>0.4</formula>
      <formula>0.8499</formula>
    </cfRule>
    <cfRule type="cellIs" dxfId="112" priority="3" operator="lessThan">
      <formula>0.4</formula>
    </cfRule>
  </conditionalFormatting>
  <conditionalFormatting sqref="D8">
    <cfRule type="cellIs" dxfId="113" priority="1" operator="greaterThanOrEqual">
      <formula>0.85</formula>
    </cfRule>
    <cfRule type="cellIs" dxfId="114" priority="2" operator="between">
      <formula>0.4</formula>
      <formula>0.8499</formula>
    </cfRule>
    <cfRule type="cellIs" dxfId="115" priority="3" operator="lessThan">
      <formula>0.4</formula>
    </cfRule>
  </conditionalFormatting>
  <conditionalFormatting sqref="D9">
    <cfRule type="cellIs" dxfId="116" priority="1" operator="greaterThanOrEqual">
      <formula>0.85</formula>
    </cfRule>
    <cfRule type="cellIs" dxfId="117" priority="2" operator="between">
      <formula>0.4</formula>
      <formula>0.8499</formula>
    </cfRule>
    <cfRule type="cellIs" dxfId="118" priority="3" operator="lessThan">
      <formula>0.4</formula>
    </cfRule>
  </conditionalFormatting>
  <conditionalFormatting sqref="D10">
    <cfRule type="cellIs" dxfId="119" priority="1" operator="greaterThanOrEqual">
      <formula>0.85</formula>
    </cfRule>
    <cfRule type="cellIs" dxfId="120" priority="2" operator="between">
      <formula>0.4</formula>
      <formula>0.8499</formula>
    </cfRule>
    <cfRule type="cellIs" dxfId="121" priority="3" operator="lessThan">
      <formula>0.4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  <headerFooter>
    <oddHeader>&amp;LCapturePilot &amp;C Capture Maturity Dashboard &amp;RFederal Lead Kit</oddHeader>
    <oddFooter>&amp;LAuto-calculated &amp;C Page &amp;P of &amp;N &amp;Rcapturepilot.com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1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2" customWidth="1"/>
    <col min="3" max="3" width="18" customWidth="1"/>
    <col min="4" max="6" width="14" customWidth="1"/>
    <col min="7" max="7" width="12" customWidth="1"/>
    <col min="8" max="8" width="14" customWidth="1"/>
    <col min="9" max="9" width="10" customWidth="1"/>
  </cols>
  <sheetData>
    <row r="1" ht="26" customHeight="1" spans="2:9" x14ac:dyDescent="0.25">
      <c r="B1" s="1" t="s">
        <v>133</v>
      </c>
      <c r="C1" s="1"/>
      <c r="D1" s="1"/>
      <c r="E1" s="1"/>
      <c r="F1" s="1"/>
      <c r="G1" s="1"/>
      <c r="H1" s="1"/>
      <c r="I1" s="1"/>
    </row>
    <row r="2" ht="30" customHeight="1" spans="2:9" x14ac:dyDescent="0.25">
      <c r="B2" s="6" t="s">
        <v>134</v>
      </c>
      <c r="C2" s="6"/>
      <c r="D2" s="6"/>
      <c r="E2" s="6"/>
      <c r="F2" s="6"/>
      <c r="G2" s="6"/>
      <c r="H2" s="6"/>
      <c r="I2" s="6"/>
    </row>
    <row r="3" ht="22" customHeight="1" spans="2:9" x14ac:dyDescent="0.25">
      <c r="B3" s="7" t="s">
        <v>135</v>
      </c>
      <c r="C3" s="7" t="s">
        <v>100</v>
      </c>
      <c r="D3" s="7" t="s">
        <v>136</v>
      </c>
      <c r="E3" s="7" t="s">
        <v>137</v>
      </c>
      <c r="F3" s="7" t="s">
        <v>138</v>
      </c>
      <c r="G3" s="7" t="s">
        <v>41</v>
      </c>
      <c r="H3" s="7" t="s">
        <v>139</v>
      </c>
      <c r="I3" s="7" t="s">
        <v>37</v>
      </c>
    </row>
    <row r="4" ht="30" customHeight="1" spans="2:9" x14ac:dyDescent="0.25">
      <c r="B4" s="3" t="s">
        <v>140</v>
      </c>
      <c r="C4" s="3" t="s">
        <v>141</v>
      </c>
      <c r="D4" s="25" t="s">
        <v>142</v>
      </c>
      <c r="E4" s="26" t="s">
        <v>45</v>
      </c>
      <c r="F4" s="27"/>
      <c r="G4" s="11" t="s">
        <v>143</v>
      </c>
      <c r="H4" s="10" t="s">
        <v>144</v>
      </c>
      <c r="I4" s="11">
        <f>IF(H4="Complete","Yes","")</f>
      </c>
    </row>
    <row r="5" ht="30" customHeight="1" spans="2:9" x14ac:dyDescent="0.25">
      <c r="B5" s="3" t="s">
        <v>145</v>
      </c>
      <c r="C5" s="3" t="s">
        <v>141</v>
      </c>
      <c r="D5" s="25" t="s">
        <v>142</v>
      </c>
      <c r="E5" s="26" t="s">
        <v>45</v>
      </c>
      <c r="F5" s="27"/>
      <c r="G5" s="11" t="s">
        <v>143</v>
      </c>
      <c r="H5" s="10" t="s">
        <v>144</v>
      </c>
      <c r="I5" s="11">
        <f>IF(H5="Complete","Yes","")</f>
      </c>
    </row>
    <row r="6" ht="30" customHeight="1" spans="2:9" x14ac:dyDescent="0.25">
      <c r="B6" s="3" t="s">
        <v>146</v>
      </c>
      <c r="C6" s="3" t="s">
        <v>147</v>
      </c>
      <c r="D6" s="25" t="s">
        <v>142</v>
      </c>
      <c r="E6" s="26" t="s">
        <v>45</v>
      </c>
      <c r="F6" s="27"/>
      <c r="G6" s="11" t="s">
        <v>148</v>
      </c>
      <c r="H6" s="10" t="s">
        <v>144</v>
      </c>
      <c r="I6" s="11">
        <f>IF(H6="Complete","Yes","")</f>
      </c>
    </row>
    <row r="7" ht="30" customHeight="1" spans="2:9" x14ac:dyDescent="0.25">
      <c r="B7" s="3" t="s">
        <v>149</v>
      </c>
      <c r="C7" s="3" t="s">
        <v>150</v>
      </c>
      <c r="D7" s="25" t="s">
        <v>142</v>
      </c>
      <c r="E7" s="26" t="s">
        <v>45</v>
      </c>
      <c r="F7" s="27"/>
      <c r="G7" s="11" t="s">
        <v>148</v>
      </c>
      <c r="H7" s="10" t="s">
        <v>144</v>
      </c>
      <c r="I7" s="11">
        <f>IF(H7="Complete","Yes","")</f>
      </c>
    </row>
    <row r="8" ht="30" customHeight="1" spans="2:9" x14ac:dyDescent="0.25">
      <c r="B8" s="3" t="s">
        <v>151</v>
      </c>
      <c r="C8" s="3" t="s">
        <v>152</v>
      </c>
      <c r="D8" s="25" t="s">
        <v>142</v>
      </c>
      <c r="E8" s="26" t="s">
        <v>45</v>
      </c>
      <c r="F8" s="27"/>
      <c r="G8" s="11" t="s">
        <v>143</v>
      </c>
      <c r="H8" s="10" t="s">
        <v>144</v>
      </c>
      <c r="I8" s="11">
        <f>IF(H8="Complete","Yes","")</f>
      </c>
    </row>
    <row r="9" ht="30" customHeight="1" spans="2:9" x14ac:dyDescent="0.25">
      <c r="B9" s="3" t="s">
        <v>153</v>
      </c>
      <c r="C9" s="3" t="s">
        <v>150</v>
      </c>
      <c r="D9" s="25" t="s">
        <v>142</v>
      </c>
      <c r="E9" s="26" t="s">
        <v>45</v>
      </c>
      <c r="F9" s="27"/>
      <c r="G9" s="11" t="s">
        <v>143</v>
      </c>
      <c r="H9" s="10" t="s">
        <v>144</v>
      </c>
      <c r="I9" s="11">
        <f>IF(H9="Complete","Yes","")</f>
      </c>
    </row>
    <row r="10" ht="30" customHeight="1" spans="2:9" x14ac:dyDescent="0.25">
      <c r="B10" s="3" t="s">
        <v>154</v>
      </c>
      <c r="C10" s="3" t="s">
        <v>155</v>
      </c>
      <c r="D10" s="25" t="s">
        <v>156</v>
      </c>
      <c r="E10" s="26" t="s">
        <v>45</v>
      </c>
      <c r="F10" s="27"/>
      <c r="G10" s="11" t="s">
        <v>143</v>
      </c>
      <c r="H10" s="10" t="s">
        <v>144</v>
      </c>
      <c r="I10" s="11">
        <f>IF(H10="Complete","Yes","")</f>
      </c>
    </row>
    <row r="11" ht="30" customHeight="1" spans="2:9" x14ac:dyDescent="0.25">
      <c r="B11" s="3" t="s">
        <v>157</v>
      </c>
      <c r="C11" s="3" t="s">
        <v>158</v>
      </c>
      <c r="D11" s="25" t="s">
        <v>156</v>
      </c>
      <c r="E11" s="26" t="s">
        <v>45</v>
      </c>
      <c r="F11" s="27"/>
      <c r="G11" s="11" t="s">
        <v>143</v>
      </c>
      <c r="H11" s="10" t="s">
        <v>144</v>
      </c>
      <c r="I11" s="11">
        <f>IF(H11="Complete","Yes","")</f>
      </c>
    </row>
    <row r="12" ht="30" customHeight="1" spans="2:9" x14ac:dyDescent="0.25">
      <c r="B12" s="3" t="s">
        <v>159</v>
      </c>
      <c r="C12" s="3" t="s">
        <v>141</v>
      </c>
      <c r="D12" s="25" t="s">
        <v>156</v>
      </c>
      <c r="E12" s="26" t="s">
        <v>45</v>
      </c>
      <c r="F12" s="27"/>
      <c r="G12" s="11" t="s">
        <v>160</v>
      </c>
      <c r="H12" s="10" t="s">
        <v>144</v>
      </c>
      <c r="I12" s="11">
        <f>IF(H12="Complete","Yes","")</f>
      </c>
    </row>
    <row r="13" ht="30" customHeight="1" spans="2:9" x14ac:dyDescent="0.25">
      <c r="B13" s="3" t="s">
        <v>161</v>
      </c>
      <c r="C13" s="3" t="s">
        <v>162</v>
      </c>
      <c r="D13" s="25" t="s">
        <v>156</v>
      </c>
      <c r="E13" s="26" t="s">
        <v>45</v>
      </c>
      <c r="F13" s="27"/>
      <c r="G13" s="11" t="s">
        <v>143</v>
      </c>
      <c r="H13" s="10" t="s">
        <v>144</v>
      </c>
      <c r="I13" s="11">
        <f>IF(H13="Complete","Yes","")</f>
      </c>
    </row>
    <row r="14" ht="30" customHeight="1" spans="2:9" x14ac:dyDescent="0.25">
      <c r="B14" s="3" t="s">
        <v>163</v>
      </c>
      <c r="C14" s="3" t="s">
        <v>155</v>
      </c>
      <c r="D14" s="25" t="s">
        <v>156</v>
      </c>
      <c r="E14" s="26" t="s">
        <v>45</v>
      </c>
      <c r="F14" s="27"/>
      <c r="G14" s="11" t="s">
        <v>160</v>
      </c>
      <c r="H14" s="10" t="s">
        <v>144</v>
      </c>
      <c r="I14" s="11">
        <f>IF(H14="Complete","Yes","")</f>
      </c>
    </row>
    <row r="15" ht="30" customHeight="1" spans="2:9" x14ac:dyDescent="0.25">
      <c r="B15" s="3" t="s">
        <v>164</v>
      </c>
      <c r="C15" s="3" t="s">
        <v>158</v>
      </c>
      <c r="D15" s="25" t="s">
        <v>156</v>
      </c>
      <c r="E15" s="26" t="s">
        <v>45</v>
      </c>
      <c r="F15" s="27"/>
      <c r="G15" s="11" t="s">
        <v>143</v>
      </c>
      <c r="H15" s="10" t="s">
        <v>144</v>
      </c>
      <c r="I15" s="11">
        <f>IF(H15="Complete","Yes","")</f>
      </c>
    </row>
    <row r="16" ht="30" customHeight="1" spans="2:9" x14ac:dyDescent="0.25">
      <c r="B16" s="3" t="s">
        <v>165</v>
      </c>
      <c r="C16" s="3" t="s">
        <v>162</v>
      </c>
      <c r="D16" s="25" t="s">
        <v>166</v>
      </c>
      <c r="E16" s="26" t="s">
        <v>45</v>
      </c>
      <c r="F16" s="27"/>
      <c r="G16" s="11" t="s">
        <v>143</v>
      </c>
      <c r="H16" s="10" t="s">
        <v>144</v>
      </c>
      <c r="I16" s="11">
        <f>IF(H16="Complete","Yes","")</f>
      </c>
    </row>
    <row r="17" ht="30" customHeight="1" spans="2:9" x14ac:dyDescent="0.25">
      <c r="B17" s="3" t="s">
        <v>167</v>
      </c>
      <c r="C17" s="3" t="s">
        <v>150</v>
      </c>
      <c r="D17" s="25" t="s">
        <v>166</v>
      </c>
      <c r="E17" s="26" t="s">
        <v>45</v>
      </c>
      <c r="F17" s="27"/>
      <c r="G17" s="11" t="s">
        <v>143</v>
      </c>
      <c r="H17" s="10" t="s">
        <v>144</v>
      </c>
      <c r="I17" s="11">
        <f>IF(H17="Complete","Yes","")</f>
      </c>
    </row>
    <row r="18" ht="30" customHeight="1" spans="2:9" x14ac:dyDescent="0.25">
      <c r="B18" s="3" t="s">
        <v>168</v>
      </c>
      <c r="C18" s="3" t="s">
        <v>141</v>
      </c>
      <c r="D18" s="25" t="s">
        <v>166</v>
      </c>
      <c r="E18" s="26" t="s">
        <v>45</v>
      </c>
      <c r="F18" s="27"/>
      <c r="G18" s="11" t="s">
        <v>143</v>
      </c>
      <c r="H18" s="10" t="s">
        <v>144</v>
      </c>
      <c r="I18" s="11">
        <f>IF(H18="Complete","Yes","")</f>
      </c>
    </row>
    <row r="19" ht="30" customHeight="1" spans="2:9" x14ac:dyDescent="0.25">
      <c r="B19" s="3" t="s">
        <v>169</v>
      </c>
      <c r="C19" s="3" t="s">
        <v>152</v>
      </c>
      <c r="D19" s="25" t="s">
        <v>166</v>
      </c>
      <c r="E19" s="26" t="s">
        <v>45</v>
      </c>
      <c r="F19" s="27"/>
      <c r="G19" s="11" t="s">
        <v>160</v>
      </c>
      <c r="H19" s="10" t="s">
        <v>144</v>
      </c>
      <c r="I19" s="11">
        <f>IF(H19="Complete","Yes","")</f>
      </c>
    </row>
    <row r="20" ht="30" customHeight="1" spans="2:9" x14ac:dyDescent="0.25">
      <c r="B20" s="3" t="s">
        <v>170</v>
      </c>
      <c r="C20" s="3" t="s">
        <v>147</v>
      </c>
      <c r="D20" s="25" t="s">
        <v>166</v>
      </c>
      <c r="E20" s="26" t="s">
        <v>45</v>
      </c>
      <c r="F20" s="27"/>
      <c r="G20" s="11" t="s">
        <v>160</v>
      </c>
      <c r="H20" s="10" t="s">
        <v>144</v>
      </c>
      <c r="I20" s="11">
        <f>IF(H20="Complete","Yes","")</f>
      </c>
    </row>
    <row r="21" ht="30" customHeight="1" spans="2:9" x14ac:dyDescent="0.25">
      <c r="B21" s="3" t="s">
        <v>171</v>
      </c>
      <c r="C21" s="3" t="s">
        <v>155</v>
      </c>
      <c r="D21" s="25" t="s">
        <v>166</v>
      </c>
      <c r="E21" s="26" t="s">
        <v>45</v>
      </c>
      <c r="F21" s="27"/>
      <c r="G21" s="11" t="s">
        <v>160</v>
      </c>
      <c r="H21" s="10" t="s">
        <v>144</v>
      </c>
      <c r="I21" s="11">
        <f>IF(H21="Complete","Yes","")</f>
      </c>
    </row>
    <row r="23" ht="22" customHeight="1" spans="2:9" x14ac:dyDescent="0.25">
      <c r="B23" s="1" t="s">
        <v>172</v>
      </c>
      <c r="C23" s="1"/>
      <c r="D23" s="1"/>
      <c r="E23" s="1"/>
      <c r="F23" s="1"/>
      <c r="G23" s="1"/>
      <c r="H23" s="1"/>
      <c r="I23" s="1"/>
    </row>
    <row r="24" ht="22" customHeight="1" spans="2:9" x14ac:dyDescent="0.25">
      <c r="B24" s="22" t="s">
        <v>173</v>
      </c>
      <c r="C24" s="28">
        <f>COUNTA(B4:B21)</f>
      </c>
      <c r="D24" s="3" t="s">
        <v>45</v>
      </c>
      <c r="E24" s="3"/>
      <c r="F24" s="3"/>
      <c r="G24" s="3"/>
      <c r="H24" s="3"/>
      <c r="I24" s="3"/>
    </row>
    <row r="25" ht="22" customHeight="1" spans="2:9" x14ac:dyDescent="0.25">
      <c r="B25" s="22" t="s">
        <v>174</v>
      </c>
      <c r="C25" s="28">
        <f>COUNTIF(H4:H21,"Complete")</f>
      </c>
      <c r="D25" s="3" t="s">
        <v>45</v>
      </c>
      <c r="E25" s="3"/>
      <c r="F25" s="3"/>
      <c r="G25" s="3"/>
      <c r="H25" s="3"/>
      <c r="I25" s="3"/>
    </row>
    <row r="26" ht="22" customHeight="1" spans="2:9" x14ac:dyDescent="0.25">
      <c r="B26" s="22" t="s">
        <v>175</v>
      </c>
      <c r="C26" s="28">
        <f>COUNTIF(H4:H21,"In Progress")</f>
      </c>
      <c r="D26" s="3" t="s">
        <v>45</v>
      </c>
      <c r="E26" s="3"/>
      <c r="F26" s="3"/>
      <c r="G26" s="3"/>
      <c r="H26" s="3"/>
      <c r="I26" s="3"/>
    </row>
    <row r="27" ht="22" customHeight="1" spans="2:9" x14ac:dyDescent="0.25">
      <c r="B27" s="22" t="s">
        <v>176</v>
      </c>
      <c r="C27" s="28">
        <f>COUNTIF(H4:H21,"Blocked")</f>
      </c>
      <c r="D27" s="3" t="s">
        <v>45</v>
      </c>
      <c r="E27" s="3"/>
      <c r="F27" s="3"/>
      <c r="G27" s="3"/>
      <c r="H27" s="3"/>
      <c r="I27" s="3"/>
    </row>
    <row r="28" ht="22" customHeight="1" spans="2:9" x14ac:dyDescent="0.25">
      <c r="B28" s="22" t="s">
        <v>177</v>
      </c>
      <c r="C28" s="28">
        <f>COUNTIF(H4:H21,"Not Started")</f>
      </c>
      <c r="D28" s="3" t="s">
        <v>45</v>
      </c>
      <c r="E28" s="3"/>
      <c r="F28" s="3"/>
      <c r="G28" s="3"/>
      <c r="H28" s="3"/>
      <c r="I28" s="3"/>
    </row>
    <row r="29" ht="22" customHeight="1" spans="2:9" x14ac:dyDescent="0.25">
      <c r="B29" s="22" t="s">
        <v>178</v>
      </c>
      <c r="C29" s="29">
        <f>IFERROR(COUNTIF(H4:H21,"Complete")/COUNTA(B4:B21),0)</f>
      </c>
      <c r="D29" s="3" t="s">
        <v>45</v>
      </c>
      <c r="E29" s="3"/>
      <c r="F29" s="3"/>
      <c r="G29" s="3"/>
      <c r="H29" s="3"/>
      <c r="I29" s="3"/>
    </row>
    <row r="31" ht="28" customHeight="1" spans="2:9" x14ac:dyDescent="0.25">
      <c r="B31" s="17" t="s">
        <v>179</v>
      </c>
      <c r="C31" s="17"/>
      <c r="D31" s="17"/>
      <c r="E31" s="17"/>
      <c r="F31" s="17"/>
      <c r="G31" s="17"/>
      <c r="H31" s="17"/>
      <c r="I31" s="17"/>
    </row>
  </sheetData>
  <mergeCells count="10">
    <mergeCell ref="B1:I1"/>
    <mergeCell ref="B2:I2"/>
    <mergeCell ref="B23:I23"/>
    <mergeCell ref="D24:I24"/>
    <mergeCell ref="D25:I25"/>
    <mergeCell ref="D26:I26"/>
    <mergeCell ref="D27:I27"/>
    <mergeCell ref="D28:I28"/>
    <mergeCell ref="D29:I29"/>
    <mergeCell ref="B31:I31"/>
  </mergeCells>
  <conditionalFormatting sqref="H4">
    <cfRule type="containsText" dxfId="122" priority="1">
      <formula>NOT(ISERROR(SEARCH("Complete",H4)))</formula>
    </cfRule>
    <cfRule type="containsText" dxfId="123" priority="2">
      <formula>NOT(ISERROR(SEARCH("Blocked",H4)))</formula>
    </cfRule>
    <cfRule type="containsText" dxfId="124" priority="3">
      <formula>NOT(ISERROR(SEARCH("In Progress",H4)))</formula>
    </cfRule>
  </conditionalFormatting>
  <conditionalFormatting sqref="H5">
    <cfRule type="containsText" dxfId="125" priority="1">
      <formula>NOT(ISERROR(SEARCH("Complete",H5)))</formula>
    </cfRule>
    <cfRule type="containsText" dxfId="126" priority="2">
      <formula>NOT(ISERROR(SEARCH("Blocked",H5)))</formula>
    </cfRule>
    <cfRule type="containsText" dxfId="127" priority="3">
      <formula>NOT(ISERROR(SEARCH("In Progress",H5)))</formula>
    </cfRule>
  </conditionalFormatting>
  <conditionalFormatting sqref="H6">
    <cfRule type="containsText" dxfId="128" priority="1">
      <formula>NOT(ISERROR(SEARCH("Complete",H6)))</formula>
    </cfRule>
    <cfRule type="containsText" dxfId="129" priority="2">
      <formula>NOT(ISERROR(SEARCH("Blocked",H6)))</formula>
    </cfRule>
    <cfRule type="containsText" dxfId="130" priority="3">
      <formula>NOT(ISERROR(SEARCH("In Progress",H6)))</formula>
    </cfRule>
  </conditionalFormatting>
  <conditionalFormatting sqref="H7">
    <cfRule type="containsText" dxfId="131" priority="1">
      <formula>NOT(ISERROR(SEARCH("Complete",H7)))</formula>
    </cfRule>
    <cfRule type="containsText" dxfId="132" priority="2">
      <formula>NOT(ISERROR(SEARCH("Blocked",H7)))</formula>
    </cfRule>
    <cfRule type="containsText" dxfId="133" priority="3">
      <formula>NOT(ISERROR(SEARCH("In Progress",H7)))</formula>
    </cfRule>
  </conditionalFormatting>
  <conditionalFormatting sqref="H8">
    <cfRule type="containsText" dxfId="134" priority="1">
      <formula>NOT(ISERROR(SEARCH("Complete",H8)))</formula>
    </cfRule>
    <cfRule type="containsText" dxfId="135" priority="2">
      <formula>NOT(ISERROR(SEARCH("Blocked",H8)))</formula>
    </cfRule>
    <cfRule type="containsText" dxfId="136" priority="3">
      <formula>NOT(ISERROR(SEARCH("In Progress",H8)))</formula>
    </cfRule>
  </conditionalFormatting>
  <conditionalFormatting sqref="H9">
    <cfRule type="containsText" dxfId="137" priority="1">
      <formula>NOT(ISERROR(SEARCH("Complete",H9)))</formula>
    </cfRule>
    <cfRule type="containsText" dxfId="138" priority="2">
      <formula>NOT(ISERROR(SEARCH("Blocked",H9)))</formula>
    </cfRule>
    <cfRule type="containsText" dxfId="139" priority="3">
      <formula>NOT(ISERROR(SEARCH("In Progress",H9)))</formula>
    </cfRule>
  </conditionalFormatting>
  <conditionalFormatting sqref="H10">
    <cfRule type="containsText" dxfId="140" priority="1">
      <formula>NOT(ISERROR(SEARCH("Complete",H10)))</formula>
    </cfRule>
    <cfRule type="containsText" dxfId="141" priority="2">
      <formula>NOT(ISERROR(SEARCH("Blocked",H10)))</formula>
    </cfRule>
    <cfRule type="containsText" dxfId="142" priority="3">
      <formula>NOT(ISERROR(SEARCH("In Progress",H10)))</formula>
    </cfRule>
  </conditionalFormatting>
  <conditionalFormatting sqref="H11">
    <cfRule type="containsText" dxfId="143" priority="1">
      <formula>NOT(ISERROR(SEARCH("Complete",H11)))</formula>
    </cfRule>
    <cfRule type="containsText" dxfId="144" priority="2">
      <formula>NOT(ISERROR(SEARCH("Blocked",H11)))</formula>
    </cfRule>
    <cfRule type="containsText" dxfId="145" priority="3">
      <formula>NOT(ISERROR(SEARCH("In Progress",H11)))</formula>
    </cfRule>
  </conditionalFormatting>
  <conditionalFormatting sqref="H12">
    <cfRule type="containsText" dxfId="146" priority="1">
      <formula>NOT(ISERROR(SEARCH("Complete",H12)))</formula>
    </cfRule>
    <cfRule type="containsText" dxfId="147" priority="2">
      <formula>NOT(ISERROR(SEARCH("Blocked",H12)))</formula>
    </cfRule>
    <cfRule type="containsText" dxfId="148" priority="3">
      <formula>NOT(ISERROR(SEARCH("In Progress",H12)))</formula>
    </cfRule>
  </conditionalFormatting>
  <conditionalFormatting sqref="H13">
    <cfRule type="containsText" dxfId="149" priority="1">
      <formula>NOT(ISERROR(SEARCH("Complete",H13)))</formula>
    </cfRule>
    <cfRule type="containsText" dxfId="150" priority="2">
      <formula>NOT(ISERROR(SEARCH("Blocked",H13)))</formula>
    </cfRule>
    <cfRule type="containsText" dxfId="151" priority="3">
      <formula>NOT(ISERROR(SEARCH("In Progress",H13)))</formula>
    </cfRule>
  </conditionalFormatting>
  <conditionalFormatting sqref="H14">
    <cfRule type="containsText" dxfId="152" priority="1">
      <formula>NOT(ISERROR(SEARCH("Complete",H14)))</formula>
    </cfRule>
    <cfRule type="containsText" dxfId="153" priority="2">
      <formula>NOT(ISERROR(SEARCH("Blocked",H14)))</formula>
    </cfRule>
    <cfRule type="containsText" dxfId="154" priority="3">
      <formula>NOT(ISERROR(SEARCH("In Progress",H14)))</formula>
    </cfRule>
  </conditionalFormatting>
  <conditionalFormatting sqref="H15">
    <cfRule type="containsText" dxfId="155" priority="1">
      <formula>NOT(ISERROR(SEARCH("Complete",H15)))</formula>
    </cfRule>
    <cfRule type="containsText" dxfId="156" priority="2">
      <formula>NOT(ISERROR(SEARCH("Blocked",H15)))</formula>
    </cfRule>
    <cfRule type="containsText" dxfId="157" priority="3">
      <formula>NOT(ISERROR(SEARCH("In Progress",H15)))</formula>
    </cfRule>
  </conditionalFormatting>
  <conditionalFormatting sqref="H16">
    <cfRule type="containsText" dxfId="158" priority="1">
      <formula>NOT(ISERROR(SEARCH("Complete",H16)))</formula>
    </cfRule>
    <cfRule type="containsText" dxfId="159" priority="2">
      <formula>NOT(ISERROR(SEARCH("Blocked",H16)))</formula>
    </cfRule>
    <cfRule type="containsText" dxfId="160" priority="3">
      <formula>NOT(ISERROR(SEARCH("In Progress",H16)))</formula>
    </cfRule>
  </conditionalFormatting>
  <conditionalFormatting sqref="H17">
    <cfRule type="containsText" dxfId="161" priority="1">
      <formula>NOT(ISERROR(SEARCH("Complete",H17)))</formula>
    </cfRule>
    <cfRule type="containsText" dxfId="162" priority="2">
      <formula>NOT(ISERROR(SEARCH("Blocked",H17)))</formula>
    </cfRule>
    <cfRule type="containsText" dxfId="163" priority="3">
      <formula>NOT(ISERROR(SEARCH("In Progress",H17)))</formula>
    </cfRule>
  </conditionalFormatting>
  <conditionalFormatting sqref="H18">
    <cfRule type="containsText" dxfId="164" priority="1">
      <formula>NOT(ISERROR(SEARCH("Complete",H18)))</formula>
    </cfRule>
    <cfRule type="containsText" dxfId="165" priority="2">
      <formula>NOT(ISERROR(SEARCH("Blocked",H18)))</formula>
    </cfRule>
    <cfRule type="containsText" dxfId="166" priority="3">
      <formula>NOT(ISERROR(SEARCH("In Progress",H18)))</formula>
    </cfRule>
  </conditionalFormatting>
  <conditionalFormatting sqref="H19">
    <cfRule type="containsText" dxfId="167" priority="1">
      <formula>NOT(ISERROR(SEARCH("Complete",H19)))</formula>
    </cfRule>
    <cfRule type="containsText" dxfId="168" priority="2">
      <formula>NOT(ISERROR(SEARCH("Blocked",H19)))</formula>
    </cfRule>
    <cfRule type="containsText" dxfId="169" priority="3">
      <formula>NOT(ISERROR(SEARCH("In Progress",H19)))</formula>
    </cfRule>
  </conditionalFormatting>
  <conditionalFormatting sqref="H20">
    <cfRule type="containsText" dxfId="170" priority="1">
      <formula>NOT(ISERROR(SEARCH("Complete",H20)))</formula>
    </cfRule>
    <cfRule type="containsText" dxfId="171" priority="2">
      <formula>NOT(ISERROR(SEARCH("Blocked",H20)))</formula>
    </cfRule>
    <cfRule type="containsText" dxfId="172" priority="3">
      <formula>NOT(ISERROR(SEARCH("In Progress",H20)))</formula>
    </cfRule>
  </conditionalFormatting>
  <conditionalFormatting sqref="H21">
    <cfRule type="containsText" dxfId="173" priority="1">
      <formula>NOT(ISERROR(SEARCH("Complete",H21)))</formula>
    </cfRule>
    <cfRule type="containsText" dxfId="174" priority="2">
      <formula>NOT(ISERROR(SEARCH("Blocked",H21)))</formula>
    </cfRule>
    <cfRule type="containsText" dxfId="175" priority="3">
      <formula>NOT(ISERROR(SEARCH("In Progress",H21)))</formula>
    </cfRule>
  </conditionalFormatting>
  <dataValidations count="6">
    <dataValidation type="list" sqref="D10:D21">
      <formula1>"30 days,60 days,90 days"</formula1>
    </dataValidation>
    <dataValidation type="list" sqref="D4:D21">
      <formula1>"30 days,60 days,90 days"</formula1>
    </dataValidation>
    <dataValidation type="list" sqref="G10:G21">
      <formula1>"Critical,High,Medium,Low"</formula1>
    </dataValidation>
    <dataValidation type="list" sqref="G4:G21">
      <formula1>"Critical,High,Medium,Low"</formula1>
    </dataValidation>
    <dataValidation type="list" sqref="H10:H21">
      <formula1>"Not Started,In Progress,Blocked,Complete"</formula1>
    </dataValidation>
    <dataValidation type="list" sqref="H4:H21">
      <formula1>"Not Started,In Progress,Blocked,Complete"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  <headerFooter>
    <oddHeader>&amp;LCapturePilot &amp;C 30/60/90 Action Plan &amp;RFederal Lead Kit</oddHeader>
    <oddFooter>&amp;LWork the plan &amp;C Page &amp;P of &amp;N &amp;Rcapturepilot.com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6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30" customWidth="1"/>
    <col min="4" max="4" width="60" customWidth="1"/>
  </cols>
  <sheetData>
    <row r="1" ht="26" customHeight="1" spans="2:4" x14ac:dyDescent="0.25">
      <c r="B1" s="1" t="s">
        <v>180</v>
      </c>
      <c r="C1" s="1"/>
      <c r="D1" s="1"/>
    </row>
    <row r="3" ht="22" customHeight="1" spans="2:4" x14ac:dyDescent="0.25">
      <c r="B3" s="7" t="s">
        <v>100</v>
      </c>
      <c r="C3" s="7" t="s">
        <v>181</v>
      </c>
      <c r="D3" s="7" t="s">
        <v>182</v>
      </c>
    </row>
    <row r="4" ht="48" customHeight="1" spans="2:4" x14ac:dyDescent="0.25">
      <c r="B4" s="4" t="s">
        <v>141</v>
      </c>
      <c r="C4" s="3" t="s">
        <v>183</v>
      </c>
      <c r="D4" s="3" t="s">
        <v>184</v>
      </c>
    </row>
    <row r="5" ht="48" customHeight="1" spans="2:4" x14ac:dyDescent="0.25">
      <c r="B5" s="4" t="s">
        <v>150</v>
      </c>
      <c r="C5" s="3" t="s">
        <v>185</v>
      </c>
      <c r="D5" s="3" t="s">
        <v>186</v>
      </c>
    </row>
    <row r="6" ht="48" customHeight="1" spans="2:4" x14ac:dyDescent="0.25">
      <c r="B6" s="4" t="s">
        <v>187</v>
      </c>
      <c r="C6" s="3" t="s">
        <v>188</v>
      </c>
      <c r="D6" s="3" t="s">
        <v>189</v>
      </c>
    </row>
    <row r="7" ht="48" customHeight="1" spans="2:4" x14ac:dyDescent="0.25">
      <c r="B7" s="4" t="s">
        <v>162</v>
      </c>
      <c r="C7" s="3" t="s">
        <v>190</v>
      </c>
      <c r="D7" s="3" t="s">
        <v>191</v>
      </c>
    </row>
    <row r="8" ht="48" customHeight="1" spans="2:4" x14ac:dyDescent="0.25">
      <c r="B8" s="4" t="s">
        <v>158</v>
      </c>
      <c r="C8" s="3" t="s">
        <v>192</v>
      </c>
      <c r="D8" s="3" t="s">
        <v>193</v>
      </c>
    </row>
    <row r="9" ht="48" customHeight="1" spans="2:4" x14ac:dyDescent="0.25">
      <c r="B9" s="4" t="s">
        <v>147</v>
      </c>
      <c r="C9" s="3" t="s">
        <v>194</v>
      </c>
      <c r="D9" s="3" t="s">
        <v>195</v>
      </c>
    </row>
    <row r="10" ht="48" customHeight="1" spans="2:4" x14ac:dyDescent="0.25">
      <c r="B10" s="4" t="s">
        <v>152</v>
      </c>
      <c r="C10" s="3" t="s">
        <v>196</v>
      </c>
      <c r="D10" s="3" t="s">
        <v>197</v>
      </c>
    </row>
    <row r="12" ht="22" customHeight="1" spans="2:4" x14ac:dyDescent="0.25">
      <c r="B12" s="1" t="s">
        <v>198</v>
      </c>
      <c r="C12" s="1"/>
      <c r="D12" s="1"/>
    </row>
    <row r="13" ht="36" customHeight="1" spans="2:4" x14ac:dyDescent="0.25">
      <c r="B13" s="22" t="s">
        <v>199</v>
      </c>
      <c r="C13" s="3" t="s">
        <v>200</v>
      </c>
      <c r="D13" s="3"/>
    </row>
    <row r="14" ht="36" customHeight="1" spans="2:4" x14ac:dyDescent="0.25">
      <c r="B14" s="22" t="s">
        <v>201</v>
      </c>
      <c r="C14" s="3" t="s">
        <v>202</v>
      </c>
      <c r="D14" s="3"/>
    </row>
    <row r="15" ht="36" customHeight="1" spans="2:4" x14ac:dyDescent="0.25">
      <c r="B15" s="22" t="s">
        <v>203</v>
      </c>
      <c r="C15" s="3" t="s">
        <v>204</v>
      </c>
      <c r="D15" s="3"/>
    </row>
    <row r="16" ht="36" customHeight="1" spans="2:4" x14ac:dyDescent="0.25">
      <c r="B16" s="22" t="s">
        <v>205</v>
      </c>
      <c r="C16" s="3" t="s">
        <v>206</v>
      </c>
      <c r="D16" s="3"/>
    </row>
  </sheetData>
  <mergeCells count="6">
    <mergeCell ref="B1:D1"/>
    <mergeCell ref="B12:D12"/>
    <mergeCell ref="C13:D13"/>
    <mergeCell ref="C14:D14"/>
    <mergeCell ref="C15:D15"/>
    <mergeCell ref="C16:D16"/>
  </mergeCells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  <headerFooter>
    <oddHeader>&amp;LCapturePilot &amp;C What '3' vs '4' Actually Looks Like &amp;RFederal Lead Kit</oddHeader>
    <oddFooter>&amp;LScoring examples &amp;C Page &amp;P of &amp;N &amp;Rcapturepilot.com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Self-Audit</vt:lpstr>
      <vt:lpstr>Score Dashboard</vt:lpstr>
      <vt:lpstr>Action Plan</vt:lpstr>
      <vt:lpstr>Help &amp; Examples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Capture Maturity Self-Audit</dc:title>
  <dc:subject>Federal Lead Kit — diagnostic for small federal contractors</dc:subject>
  <dc:description/>
  <cp:keywords/>
  <cp:category/>
  <cp:lastModifiedBy>CapturePilot</cp:lastModifiedBy>
  <dcterms:created xsi:type="dcterms:W3CDTF">2026-06-05T21:26:47Z</dcterms:created>
  <dcterms:modified xsi:type="dcterms:W3CDTF">2026-06-05T21:26:47Z</dcterms:modified>
</cp:coreProperties>
</file>