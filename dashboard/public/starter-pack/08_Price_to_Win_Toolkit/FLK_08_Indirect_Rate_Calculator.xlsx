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Direct Labor" state="visible" r:id="rId5"/>
    <sheet sheetId="3" name="Cost Pools" state="visible" r:id="rId6"/>
    <sheet sheetId="4" name="Rate Summary" state="visible" r:id="rId7"/>
    <sheet sheetId="5" name="Help" state="visible" r:id="rId8"/>
  </sheets>
  <definedNames>
    <definedName name="DL_Base">'Direct Labor'!$D$16</definedName>
    <definedName name="Indirect_Labor_Total">'Direct Labor'!$D$24</definedName>
    <definedName name="Fringe_Pool">'Cost Pools'!$B$17</definedName>
    <definedName name="OH_Pool">'Cost Pools'!$B$29</definedName>
    <definedName name="GA_Pool">'Cost Pools'!$B$44</definedName>
  </definedNames>
  <calcPr calcId="171027"/>
</workbook>
</file>

<file path=xl/sharedStrings.xml><?xml version="1.0" encoding="utf-8"?>
<sst xmlns="http://schemas.openxmlformats.org/spreadsheetml/2006/main" count="256" uniqueCount="216">
  <si>
    <t>FEDERAL LEAD KIT — Indirect Rate Calculator</t>
  </si>
  <si>
    <t>Calculate your provisional fringe, overhead, and G&amp;A rates from real cost data. Outputs the wrap rate and the bill rate you can drop into a proposal.</t>
  </si>
  <si>
    <t>WHAT THIS WORKBOOK DOES</t>
  </si>
  <si>
    <t>You probably know your loaded labor cost is more than the base salary. The hard part is putting a real number on it.</t>
  </si>
  <si>
    <t>This sheet does that math. You enter actual payroll and overhead numbers. It gives you back a fringe rate, an overhead rate, a G&amp;A rate, and a wrap rate you can defend if DCAA asks.</t>
  </si>
  <si>
    <t>Build it once, refresh it every quarter, and you'll have a defensible price for the next RFP without scrambling.</t>
  </si>
  <si>
    <t>HOW TO USE IT — IN ORDER</t>
  </si>
  <si>
    <t>Step 1</t>
  </si>
  <si>
    <t>Direct Labor tab</t>
  </si>
  <si>
    <t>List every employee who charges time to contracts. Annual salary and annual hours. That's your DL base.</t>
  </si>
  <si>
    <t>Step 2</t>
  </si>
  <si>
    <t>Cost Pools tab</t>
  </si>
  <si>
    <t>Plug in fringe costs (taxes, health, retirement, PTO), overhead costs (rent, indirect labor, equipment), and G&amp;A (executive salaries, accounting, BD).</t>
  </si>
  <si>
    <t>Step 3</t>
  </si>
  <si>
    <t>Rate Summary tab</t>
  </si>
  <si>
    <t>Read the three pool rates, your wrap rate, and your bill rates per labor category. Change the target fee at the top to see the impact.</t>
  </si>
  <si>
    <t>Step 4</t>
  </si>
  <si>
    <t>Help tab</t>
  </si>
  <si>
    <t>Read this before your first DCAA conversation. Definitions, typical ranges, and what auditors actually want to see.</t>
  </si>
  <si>
    <t>COLOR CODING</t>
  </si>
  <si>
    <t>Input</t>
  </si>
  <si>
    <t>You enter this. These cells drive every calculation downstream.</t>
  </si>
  <si>
    <t>Formula</t>
  </si>
  <si>
    <t>Auto-calculated. Leave it alone.</t>
  </si>
  <si>
    <t>Total</t>
  </si>
  <si>
    <t>Subtotal or section total. Always a formula.</t>
  </si>
  <si>
    <t>Warning</t>
  </si>
  <si>
    <t>Your rate is outside the typical range. Fix it or be ready to defend it.</t>
  </si>
  <si>
    <t>Reference</t>
  </si>
  <si>
    <t>Benchmark numbers for comparison. Not your data.</t>
  </si>
  <si>
    <t>WHEN TO REFRESH</t>
  </si>
  <si>
    <t>Quarterly</t>
  </si>
  <si>
    <t>Update direct labor and pool numbers from your books. Takes 30 minutes if your bookkeeper has clean categories.</t>
  </si>
  <si>
    <t>Before any cost proposal</t>
  </si>
  <si>
    <t>Pull actuals year-to-date and project forward. Submit a Forward Pricing Rate Agreement (FPRA) to DCAA if you do more than $50M in cost-type work.</t>
  </si>
  <si>
    <t>When you hire indirect staff</t>
  </si>
  <si>
    <t>A new HR or finance hire moves your overhead pool. The wrap rate shifts immediately, sometimes 2 to 4 points.</t>
  </si>
  <si>
    <t>When you change benefits</t>
  </si>
  <si>
    <t>Switched health plans, added 401(k) match, raised PTO. Fringe rate changes the next pay cycle.</t>
  </si>
  <si>
    <t>DIRECT LABOR POOL — Employee Salary &amp; Hours</t>
  </si>
  <si>
    <t>Enter each direct-charge employee. Overhead, fringe, and wrap calculations pull from this sheet.</t>
  </si>
  <si>
    <t>Employee Name / Position</t>
  </si>
  <si>
    <t>Clearance</t>
  </si>
  <si>
    <t>DL or Indirect?</t>
  </si>
  <si>
    <t>Annual Salary ($)</t>
  </si>
  <si>
    <t>Annual Hours</t>
  </si>
  <si>
    <t>Hourly DL Rate ($)</t>
  </si>
  <si>
    <t>Fringe Estimate ($)</t>
  </si>
  <si>
    <t>Annual DL Cost ($)</t>
  </si>
  <si>
    <t>Notes</t>
  </si>
  <si>
    <t xml:space="preserve">  DIRECT EMPLOYEES (charge time to contracts)</t>
  </si>
  <si>
    <t xml:space="preserve">  Program Manager</t>
  </si>
  <si>
    <t>Secret</t>
  </si>
  <si>
    <t>Direct</t>
  </si>
  <si>
    <t xml:space="preserve">  Senior Systems Engineer</t>
  </si>
  <si>
    <t>TS/SCI</t>
  </si>
  <si>
    <t xml:space="preserve">  Systems Engineer (Mid)</t>
  </si>
  <si>
    <t xml:space="preserve">  Software Developer (Senior)</t>
  </si>
  <si>
    <t xml:space="preserve">  Software Developer (Mid)</t>
  </si>
  <si>
    <t>None</t>
  </si>
  <si>
    <t xml:space="preserve">  Data Analyst</t>
  </si>
  <si>
    <t xml:space="preserve">  Technical Writer</t>
  </si>
  <si>
    <t xml:space="preserve">  Quality Assurance Lead</t>
  </si>
  <si>
    <t xml:space="preserve">  Project Coordinator</t>
  </si>
  <si>
    <t xml:space="preserve">  Subject Matter Expert (PT)</t>
  </si>
  <si>
    <t xml:space="preserve">  DIRECT LABOR TOTAL</t>
  </si>
  <si>
    <t/>
  </si>
  <si>
    <t>← Direct labor base</t>
  </si>
  <si>
    <t xml:space="preserve">  INDIRECT / OVERHEAD LABOR (flows to OH pool, not DL base)</t>
  </si>
  <si>
    <t xml:space="preserve">  Project Controls / Scheduler</t>
  </si>
  <si>
    <t>Indirect</t>
  </si>
  <si>
    <t xml:space="preserve">  HR Manager</t>
  </si>
  <si>
    <t xml:space="preserve">  Controller / Finance Manager</t>
  </si>
  <si>
    <t xml:space="preserve">  IT Systems Administrator</t>
  </si>
  <si>
    <t xml:space="preserve">  Facilities / Office Manager</t>
  </si>
  <si>
    <t xml:space="preserve">  INDIRECT LABOR TOTAL</t>
  </si>
  <si>
    <t>→ Flows to OH pool</t>
  </si>
  <si>
    <t>INDIRECT COST POOLS — Fringe, Overhead &amp; G&amp;A</t>
  </si>
  <si>
    <t>Enter actual or estimated annual costs for each pool. Rates auto-calculate on the Rate Summary tab.</t>
  </si>
  <si>
    <t>FRINGE BENEFIT POOL — Base: Total Direct Labor Salaries</t>
  </si>
  <si>
    <t xml:space="preserve">  FICA — Social Security (6.2% of wages up to $168,600)</t>
  </si>
  <si>
    <t xml:space="preserve">  FICA — Medicare (1.45% of all wages + 0.9% over $200K)</t>
  </si>
  <si>
    <t xml:space="preserve">  FUTA — Federal Unemployment (6% on first $7K, net ~0.6%)</t>
  </si>
  <si>
    <t xml:space="preserve">  SUTA — State Unemployment (varies by state, 1–5%)</t>
  </si>
  <si>
    <t xml:space="preserve">  Health Insurance — Employer Contribution</t>
  </si>
  <si>
    <t xml:space="preserve">  Dental &amp; Vision — Employer Contribution</t>
  </si>
  <si>
    <t xml:space="preserve">  Retirement / 401(k) Match</t>
  </si>
  <si>
    <t xml:space="preserve">  Paid Time Off (PTO) — accrual cost</t>
  </si>
  <si>
    <t xml:space="preserve">  Paid Holidays</t>
  </si>
  <si>
    <t xml:space="preserve">  Workers Compensation Insurance</t>
  </si>
  <si>
    <t xml:space="preserve">  Life / Disability Insurance</t>
  </si>
  <si>
    <t xml:space="preserve">  Other Fringe (commuter benefits, tuition, etc.)</t>
  </si>
  <si>
    <t xml:space="preserve">  TOTAL FRINGE POOL</t>
  </si>
  <si>
    <t>→ Fringe Rate = this ÷ DL Base</t>
  </si>
  <si>
    <t>OVERHEAD COST POOL — Base: Direct Labor Salaries</t>
  </si>
  <si>
    <t xml:space="preserve">  Indirect Labor (auto-pulled from Direct Labor tab)</t>
  </si>
  <si>
    <t>Linked from Direct Labor tab</t>
  </si>
  <si>
    <t xml:space="preserve">  Fringe on Indirect Labor</t>
  </si>
  <si>
    <t xml:space="preserve">  Facilities — Rent, Utilities, Janitorial (contract-supporting space)</t>
  </si>
  <si>
    <t xml:space="preserve">  Equipment — Computers, Software licenses for DL employees</t>
  </si>
  <si>
    <t xml:space="preserve">  Subcontractor Oversight (if not direct-charged)</t>
  </si>
  <si>
    <t xml:space="preserve">  Travel — Indirect (site visits, not billable to specific contracts)</t>
  </si>
  <si>
    <t xml:space="preserve">  Training — Technical (job-specific, not G&amp;A)</t>
  </si>
  <si>
    <t xml:space="preserve">  Recruiting — Direct employee sourcing</t>
  </si>
  <si>
    <t xml:space="preserve">  Other Overhead</t>
  </si>
  <si>
    <t xml:space="preserve">  TOTAL OVERHEAD POOL</t>
  </si>
  <si>
    <t>→ Overhead Rate = this ÷ DL Base</t>
  </si>
  <si>
    <t>G&amp;A (GENERAL &amp; ADMINISTRATIVE) COST POOL — Base: Total Cost Input</t>
  </si>
  <si>
    <t xml:space="preserve">  Executive / Owner Salaries (non-billable portion)</t>
  </si>
  <si>
    <t xml:space="preserve">  Fringe on G&amp;A Labor</t>
  </si>
  <si>
    <t xml:space="preserve">  Accounting &amp; Finance</t>
  </si>
  <si>
    <t xml:space="preserve">  Legal &amp; Compliance</t>
  </si>
  <si>
    <t xml:space="preserve">  Business Development &amp; Proposal (non-overhead BD)</t>
  </si>
  <si>
    <t xml:space="preserve">  General IT / Corporate Systems</t>
  </si>
  <si>
    <t xml:space="preserve">  Corporate Facilities (not allocated to OH)</t>
  </si>
  <si>
    <t xml:space="preserve">  Professional Memberships &amp; Subscriptions</t>
  </si>
  <si>
    <t xml:space="preserve">  Corporate Insurance (D&amp;O, E&amp;O, General Liability)</t>
  </si>
  <si>
    <t xml:space="preserve">  Corporate Travel</t>
  </si>
  <si>
    <t xml:space="preserve">  Bid &amp; Proposal (B&amp;P) Costs</t>
  </si>
  <si>
    <t xml:space="preserve">  Other G&amp;A</t>
  </si>
  <si>
    <t xml:space="preserve">  TOTAL G&amp;A POOL</t>
  </si>
  <si>
    <t>→ G&amp;A Rate = this ÷ Total Cost Input</t>
  </si>
  <si>
    <t>INDIRECT RATE SUMMARY &amp; WRAP RATE CALCULATOR</t>
  </si>
  <si>
    <t>Pulls from Direct Labor and Cost Pools tabs. Change the fee, escalation, and fringe override below.</t>
  </si>
  <si>
    <t>RATE INPUTS &amp; ASSUMPTIONS</t>
  </si>
  <si>
    <t xml:space="preserve">  Target Fee / Profit Rate</t>
  </si>
  <si>
    <t>Used in bill rate and full wrap. CPFF typical 6–10%. FFP varies.</t>
  </si>
  <si>
    <t xml:space="preserve">  Annual Escalation Rate (Year 2+)</t>
  </si>
  <si>
    <t>Salary escalation for option years. 2–4% is normal for GovCon.</t>
  </si>
  <si>
    <t xml:space="preserve">  Fringe Rate (override — optional)</t>
  </si>
  <si>
    <t>Leave blank to auto-calculate from Cost Pools.</t>
  </si>
  <si>
    <t>CALCULATED INDIRECT RATES</t>
  </si>
  <si>
    <t xml:space="preserve">  Direct Labor Base (annual salaries)</t>
  </si>
  <si>
    <t>Fringe Pool ÷ DL Base. Typical: 25–35%.</t>
  </si>
  <si>
    <t xml:space="preserve">  Overhead Rate</t>
  </si>
  <si>
    <t>Overhead Pool ÷ DL Base. Typical: 10–25%.</t>
  </si>
  <si>
    <t xml:space="preserve">  Total Cost Input (G&amp;A base)</t>
  </si>
  <si>
    <t>DL × (1 + Fringe + OH). Base used for G&amp;A.</t>
  </si>
  <si>
    <t xml:space="preserve">  G&amp;A Rate</t>
  </si>
  <si>
    <t>G&amp;A Pool ÷ Total Cost Input. Typical: 10–20%.</t>
  </si>
  <si>
    <t>WRAP RATE &amp; BILL RATE MULTIPLIERS</t>
  </si>
  <si>
    <t xml:space="preserve">  Wrap Rate (excl. fee)</t>
  </si>
  <si>
    <t>Multiply by base DL hourly to get fully-loaded cost.</t>
  </si>
  <si>
    <t xml:space="preserve">  Full Wrap Rate (incl. fee)</t>
  </si>
  <si>
    <t>Your bill multiplier. Multiply by hourly DL rate to get proposed price.</t>
  </si>
  <si>
    <t>BILL RATE TABLE — By Labor Category</t>
  </si>
  <si>
    <t>Labor Category</t>
  </si>
  <si>
    <t>Base Salary ($)</t>
  </si>
  <si>
    <t>Hourly DL Rate</t>
  </si>
  <si>
    <t>Fringe-Loaded</t>
  </si>
  <si>
    <t>OH-Loaded</t>
  </si>
  <si>
    <t>G&amp;A-Loaded</t>
  </si>
  <si>
    <t>Bill Rate (incl. fee)</t>
  </si>
  <si>
    <t xml:space="preserve">  QA Lead</t>
  </si>
  <si>
    <t>RATE HEALTH CHECKS</t>
  </si>
  <si>
    <t>Rate</t>
  </si>
  <si>
    <t>Your Value</t>
  </si>
  <si>
    <t>Typical Low</t>
  </si>
  <si>
    <t>Typical High</t>
  </si>
  <si>
    <t>Status</t>
  </si>
  <si>
    <t xml:space="preserve">  Fringe Rate</t>
  </si>
  <si>
    <t xml:space="preserve">  Total Wrap Rate (excl. fee)</t>
  </si>
  <si>
    <t>DCAA NOTE: Rates outside the typical range aren't automatically a problem. They have to be supported. Write a one-page cost accounting policy that explains how you allocate each pool, keep the source data, and submit it with your cost proposal. That's what auditors actually ask for.</t>
  </si>
  <si>
    <t>HELP — Definitions, Typical Ranges, DCAA Survival</t>
  </si>
  <si>
    <t>KEY DEFINITIONS</t>
  </si>
  <si>
    <t>Direct Labor (DL) Base</t>
  </si>
  <si>
    <t>Total wages paid to people performing direct contract work. Every indirect rate is calculated as a percentage of this base. Get this wrong and everything downstream is wrong.</t>
  </si>
  <si>
    <t>Fringe Rate</t>
  </si>
  <si>
    <t>Fringe ÷ Total DL Salaries. Covers payroll taxes (FICA, FUTA, SUTA), health insurance, retirement, PTO, workers comp. Typical: 25–35%. Below 22% usually means you're missing PTO or 401(k) accruals.</t>
  </si>
  <si>
    <t>Overhead Rate</t>
  </si>
  <si>
    <t>Overhead Pool ÷ Direct Labor Base. Covers indirect labor (supervisors, QA, admin supporting contracts), facilities, indirect materials. Typical: 10–25%. Pure-services firms run lower; firms with facilities run higher.</t>
  </si>
  <si>
    <t>G&amp;A Rate</t>
  </si>
  <si>
    <t>G&amp;A Pool ÷ Total Cost Input. Covers executive salaries, accounting, BD, legal, corporate insurance. Typical: 10–20%. New firms can hit 25–30% in year one because the executive salary is spread over a tiny revenue base.</t>
  </si>
  <si>
    <t>Wrap Rate</t>
  </si>
  <si>
    <t>(1 + Fringe) × (1 + OH) × (1 + G&amp;A). The multiplier you apply to base DL wages to get fully-loaded cost before fee. Typical: 1.50–2.20.</t>
  </si>
  <si>
    <t>Bill Rate</t>
  </si>
  <si>
    <t>Wrap Rate × (1 + Fee) × (Base Salary ÷ Annual Hours). Your all-in cost-per-hour proposal rate for a labor category.</t>
  </si>
  <si>
    <t>Forward Pricing Rate</t>
  </si>
  <si>
    <t>Your estimated indirect rates for a future period, submitted to DCAA. Used in Cost Accounting Standards (CAS) environments. Required once you hit $50M in cost-type work.</t>
  </si>
  <si>
    <t>Provisional Rate</t>
  </si>
  <si>
    <t>An interim rate you and the government agree on while actuals are still being accumulated. DCAA audits and trues up at year-end. If your provisionals are way off, you'll write a check or get one.</t>
  </si>
  <si>
    <t>TYPICAL RANGES BY COMPANY TYPE</t>
  </si>
  <si>
    <t>Small services firm (1-25 staff)</t>
  </si>
  <si>
    <t>Fringe 28-32%, OH 15-22%, G&amp;A 12-18%, Wrap 1.65-1.95</t>
  </si>
  <si>
    <t>Mid services firm (25-150 staff)</t>
  </si>
  <si>
    <t>Fringe 28-35%, OH 18-28%, G&amp;A 8-14%, Wrap 1.80-2.15</t>
  </si>
  <si>
    <t>Hardware / facilities-heavy</t>
  </si>
  <si>
    <t>Fringe 25-32%, OH 30-50%, G&amp;A 8-12%, Wrap 2.00-2.50</t>
  </si>
  <si>
    <t>Pure R&amp;D / SBIR</t>
  </si>
  <si>
    <t>Fringe 28-35%, OH 50-100%+, G&amp;A 15-25%, Wrap 2.50-4.00</t>
  </si>
  <si>
    <t>Staff augmentation / time-and-materials</t>
  </si>
  <si>
    <t>Fringe 25-30%, OH 8-15%, G&amp;A 8-12%, Wrap 1.40-1.65</t>
  </si>
  <si>
    <t>DCAA SURVIVAL CHECKLIST</t>
  </si>
  <si>
    <t>Written cost accounting policy</t>
  </si>
  <si>
    <t>One page. How you decide what's direct vs indirect, which pool a cost goes into, what allocation base each pool uses. Sign and date it.</t>
  </si>
  <si>
    <t>Timekeeping that ties to charge codes</t>
  </si>
  <si>
    <t>Every employee, every day, every hour, against a specific charge code. Daily entry. Supervisor approval. DCAA will pull samples.</t>
  </si>
  <si>
    <t>Job cost accounting in your books</t>
  </si>
  <si>
    <t>Your accounting system (QuickBooks Enterprise, Unanet, Deltek, Procas) needs to roll up costs by contract and by indirect pool. Stock QuickBooks Online does not pass DCAA review.</t>
  </si>
  <si>
    <t>Indirect pool documentation</t>
  </si>
  <si>
    <t>For every line in your overhead and G&amp;A pools, you need an invoice or payroll record. No "estimated" costs.</t>
  </si>
  <si>
    <t>Quarterly true-up</t>
  </si>
  <si>
    <t>Compare provisional rates to actuals. If you're off by more than 10%, file a revised provisional rate proposal.</t>
  </si>
  <si>
    <t>Year-end Incurred Cost Submission (ICS)</t>
  </si>
  <si>
    <t>Due 6 months after fiscal year end. Required if you have any cost-type contracts. Forms ICE-format. DCAA audits these on a 3-5 year cycle.</t>
  </si>
  <si>
    <t>COMMON MISTAKES THAT KILL PROPOSALS</t>
  </si>
  <si>
    <t>Bill rate too low</t>
  </si>
  <si>
    <t>You forgot to escalate option years, or your fringe rate is missing PTO and 401(k). The contracting officer notices and your evaluator either rejects the price as unrealistic or flags it for cost realism review.</t>
  </si>
  <si>
    <t>Bill rate too high</t>
  </si>
  <si>
    <t>Your wrap is 2.4 in a market where the average is 1.85. You lose to the cheaper proposal. Either trim your G&amp;A pool (often bloated executive salary) or rethink whether this is the right market for you.</t>
  </si>
  <si>
    <t>Mixing direct and indirect costs</t>
  </si>
  <si>
    <t>Charging the same person's time to both direct projects and overhead in the same week without a clear allocation methodology. DCAA disallows the cost and you eat it.</t>
  </si>
  <si>
    <t>No timecards</t>
  </si>
  <si>
    <t>If you can't show daily time entries against charge codes, DCAA will disallow your direct labor and bill you back. Companies have lost everything over this.</t>
  </si>
  <si>
    <t>Allocating BD to G&amp;A</t>
  </si>
  <si>
    <t>Selling to the government is part of normal business. But BD chasing a specific contract isn't allowable — it's unallowable B&amp;P that has to come out of fee, not get billed back through G&amp;A.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</si>
</sst>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
    <numFmt numFmtId="165" formatCode="&quot;$&quot;#,##0.00"/>
    <numFmt numFmtId="166" formatCode="0.0%"/>
    <numFmt numFmtId="167" formatCode="0.0000"/>
  </numFmts>
  <fonts count="17" x14ac:knownFonts="1">
    <font>
      <color theme="1"/>
      <family val="2"/>
      <scheme val="minor"/>
      <sz val="11"/>
      <name val="Calibri"/>
    </font>
    <font>
      <b/>
      <color rgb="FFFFFFFF"/>
      <sz val="16"/>
      <name val="Calibri"/>
    </font>
    <font>
      <i/>
      <color rgb="FF334155"/>
      <sz val="11"/>
      <name val="Calibri"/>
    </font>
    <font>
      <b/>
      <color rgb="FFFFFFFF"/>
      <sz val="12"/>
      <name val="Calibri"/>
    </font>
    <font>
      <color rgb="FF0F172A"/>
      <sz val="11"/>
      <name val="Calibri"/>
    </font>
    <font>
      <b/>
      <color rgb="FF065F46"/>
      <sz val="11"/>
      <name val="Calibri"/>
    </font>
    <font>
      <b/>
      <color rgb="FF0F172A"/>
      <sz val="11"/>
      <name val="Calibri"/>
    </font>
    <font>
      <color rgb="FF334155"/>
      <sz val="11"/>
      <name val="Calibri"/>
    </font>
    <font>
      <b/>
      <color rgb="FF2563EB"/>
      <sz val="11"/>
      <name val="Calibri"/>
    </font>
    <font>
      <b/>
      <color rgb="FFFFFFFF"/>
      <sz val="11"/>
      <name val="Calibri"/>
    </font>
    <font>
      <b/>
      <color rgb="FFDC2626"/>
      <sz val="11"/>
      <name val="Calibri"/>
    </font>
    <font>
      <b/>
      <color rgb="FFFFFFFF"/>
      <sz val="14"/>
      <name val="Calibri"/>
    </font>
    <font>
      <i/>
      <color rgb="FF334155"/>
      <sz val="10"/>
      <name val="Calibri"/>
    </font>
    <font>
      <i/>
      <color rgb="FF334155"/>
      <sz val="10"/>
    </font>
    <font>
      <b/>
      <color rgb="FF065F46"/>
    </font>
    <font>
      <b/>
      <color rgb="FF065F46"/>
      <sz val="12"/>
    </font>
    <font>
      <color rgb="FF334155"/>
      <sz val="10"/>
      <name val="Consolas"/>
    </font>
  </fonts>
  <fills count="11">
    <fill>
      <patternFill patternType="none"/>
    </fill>
    <fill>
      <patternFill patternType="gray125"/>
    </fill>
    <fill>
      <patternFill patternType="solid">
        <fgColor rgb="FF065F46"/>
      </patternFill>
    </fill>
    <fill>
      <patternFill patternType="solid">
        <fgColor rgb="FFDBEAFE"/>
      </patternFill>
    </fill>
    <fill>
      <patternFill patternType="solid">
        <fgColor rgb="FFF8FAFC"/>
      </patternFill>
    </fill>
    <fill>
      <patternFill patternType="solid">
        <fgColor rgb="FF10B981"/>
      </patternFill>
    </fill>
    <fill>
      <patternFill patternType="solid">
        <fgColor rgb="FFFECACA"/>
      </patternFill>
    </fill>
    <fill>
      <patternFill patternType="solid">
        <fgColor rgb="FFD1FAE5"/>
      </patternFill>
    </fill>
    <fill>
      <patternFill patternType="solid">
        <fgColor rgb="FF0F172A"/>
      </patternFill>
    </fill>
    <fill>
      <patternFill patternType="solid">
        <fgColor rgb="FFFFFFFF"/>
      </patternFill>
    </fill>
    <fill>
      <patternFill patternType="solid">
        <fgColor rgb="FFFFFBEB"/>
      </patternFill>
    </fill>
  </fills>
  <borders count="6">
    <border>
      <left/>
      <right/>
      <top/>
      <bottom/>
      <diagonal/>
    </border>
    <border>
      <left style="thin">
        <color rgb="FFCBD5E1"/>
      </left>
      <right style="thin">
        <color rgb="FFCBD5E1"/>
      </right>
      <top style="thin">
        <color rgb="FFCBD5E1"/>
      </top>
      <bottom style="thin">
        <color rgb="FFCBD5E1"/>
      </bottom>
      <diagonal/>
    </border>
    <border>
      <left style="thin">
        <color rgb="FF0F172A"/>
      </left>
      <right style="thin">
        <color rgb="FF0F172A"/>
      </right>
      <top style="thin">
        <color rgb="FF0F172A"/>
      </top>
      <bottom style="thin">
        <color rgb="FF0F172A"/>
      </bottom>
      <diagonal/>
    </border>
    <border>
      <left style="thin">
        <color rgb="FF93C5FD"/>
      </left>
      <right style="thin">
        <color rgb="FF93C5FD"/>
      </right>
      <top style="thin">
        <color rgb="FF93C5FD"/>
      </top>
      <bottom style="thin">
        <color rgb="FF93C5FD"/>
      </bottom>
      <diagonal/>
    </border>
    <border>
      <left style="thin">
        <color rgb="FF065F46"/>
      </left>
      <right style="thin">
        <color rgb="FF065F46"/>
      </right>
      <top style="thin">
        <color rgb="FF065F46"/>
      </top>
      <bottom style="thin">
        <color rgb="FF065F46"/>
      </bottom>
      <diagonal/>
    </border>
    <border>
      <left style="thin">
        <color rgb="FFF59E0B"/>
      </left>
      <right style="thin">
        <color rgb="FFF59E0B"/>
      </right>
      <top style="thin">
        <color rgb="FFF59E0B"/>
      </top>
      <bottom style="thin">
        <color rgb="FFF59E0B"/>
      </bottom>
      <diagonal/>
    </border>
  </borders>
  <cellStyleXfs count="1">
    <xf numFmtId="0" fontId="0" fillId="0" borderId="0"/>
  </cellStyleXfs>
  <cellXfs count="45">
    <xf numFmtId="0" fontId="0" fillId="0" borderId="0" xfId="0"/>
    <xf numFmtId="0" fontId="1" fillId="2" borderId="0" xfId="0" applyFont="1" applyFill="1" applyAlignment="1">
      <alignment horizontal="left" vertical="center" indent="1"/>
    </xf>
    <xf numFmtId="0" fontId="2" fillId="0" borderId="0" xfId="0" applyFont="1" applyAlignment="1">
      <alignment vertical="center" wrapText="1"/>
    </xf>
    <xf numFmtId="0" fontId="3" fillId="2" borderId="0" xfId="0" applyFont="1" applyFill="1" applyAlignment="1">
      <alignment horizontal="left" vertical="center" indent="1"/>
    </xf>
    <xf numFmtId="0" fontId="4" fillId="0" borderId="0" xfId="0" applyFont="1" applyAlignment="1">
      <alignment vertical="top" wrapText="1"/>
    </xf>
    <xf numFmtId="0" fontId="5" fillId="0" borderId="0" xfId="0" applyFont="1" applyAlignment="1">
      <alignment vertical="top"/>
    </xf>
    <xf numFmtId="0" fontId="6" fillId="0" borderId="0" xfId="0" applyFont="1" applyAlignment="1">
      <alignment vertical="top"/>
    </xf>
    <xf numFmtId="0" fontId="7" fillId="0" borderId="0" xfId="0" applyFont="1" applyAlignment="1">
      <alignment vertical="top" wrapText="1"/>
    </xf>
    <xf numFmtId="0" fontId="8" fillId="3" borderId="1" xfId="0" applyFont="1" applyFill="1" applyBorder="1" applyAlignment="1">
      <alignment horizontal="center" vertical="center"/>
    </xf>
    <xf numFmtId="0" fontId="4" fillId="0" borderId="0" xfId="0" applyFont="1" applyAlignment="1">
      <alignment horizontal="left" vertical="center" wrapText="1"/>
    </xf>
    <xf numFmtId="0" fontId="6"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0" borderId="0" xfId="0" applyFont="1"/>
    <xf numFmtId="0" fontId="11" fillId="2" borderId="0" xfId="0" applyFont="1" applyFill="1" applyAlignment="1">
      <alignment horizontal="left" vertical="center" indent="1"/>
    </xf>
    <xf numFmtId="0" fontId="12" fillId="0" borderId="0" xfId="0" applyFont="1"/>
    <xf numFmtId="0" fontId="9" fillId="8" borderId="2" xfId="0" applyFont="1" applyFill="1" applyBorder="1" applyAlignment="1">
      <alignment horizontal="center" vertical="center" wrapText="1"/>
    </xf>
    <xf numFmtId="0" fontId="5" fillId="7" borderId="0" xfId="0" applyFont="1" applyFill="1"/>
    <xf numFmtId="0" fontId="8" fillId="3" borderId="3" xfId="0" applyFont="1" applyFill="1" applyBorder="1" applyAlignment="1">
      <alignment horizontal="center"/>
    </xf>
    <xf numFmtId="164" fontId="8" fillId="3" borderId="3" xfId="0" applyNumberFormat="1" applyFont="1" applyFill="1" applyBorder="1"/>
    <xf numFmtId="3" fontId="8" fillId="3" borderId="3" xfId="0" applyNumberFormat="1" applyFont="1" applyFill="1" applyBorder="1"/>
    <xf numFmtId="165" fontId="4" fillId="4" borderId="1" xfId="0" applyNumberFormat="1" applyFont="1" applyFill="1" applyBorder="1"/>
    <xf numFmtId="164" fontId="4" fillId="4" borderId="1" xfId="0" applyNumberFormat="1" applyFont="1" applyFill="1" applyBorder="1"/>
    <xf numFmtId="0" fontId="0" fillId="4" borderId="1" xfId="0" applyFill="1" applyBorder="1"/>
    <xf numFmtId="0" fontId="9" fillId="5" borderId="4" xfId="0" applyFont="1" applyFill="1" applyBorder="1"/>
    <xf numFmtId="164" fontId="9" fillId="5" borderId="4" xfId="0" applyNumberFormat="1" applyFont="1" applyFill="1" applyBorder="1"/>
    <xf numFmtId="3" fontId="9" fillId="5" borderId="4" xfId="0" applyNumberFormat="1" applyFont="1" applyFill="1" applyBorder="1"/>
    <xf numFmtId="165" fontId="9" fillId="5" borderId="4" xfId="0" applyNumberFormat="1" applyFont="1" applyFill="1" applyBorder="1"/>
    <xf numFmtId="0" fontId="0" fillId="9" borderId="1" xfId="0" applyFill="1" applyBorder="1"/>
    <xf numFmtId="0" fontId="13" fillId="0" borderId="0" xfId="0" applyFont="1"/>
    <xf numFmtId="166" fontId="8" fillId="3" borderId="3" xfId="0" applyNumberFormat="1" applyFont="1" applyFill="1" applyBorder="1"/>
    <xf numFmtId="166" fontId="14" fillId="4" borderId="1" xfId="0" applyNumberFormat="1" applyFont="1" applyFill="1" applyBorder="1"/>
    <xf numFmtId="167" fontId="15" fillId="4" borderId="1" xfId="0" applyNumberFormat="1" applyFont="1" applyFill="1" applyBorder="1"/>
    <xf numFmtId="165" fontId="14" fillId="4" borderId="1" xfId="0" applyNumberFormat="1" applyFont="1" applyFill="1" applyBorder="1"/>
    <xf numFmtId="0" fontId="9" fillId="8" borderId="2" xfId="0" applyFont="1" applyFill="1" applyBorder="1" applyAlignment="1">
      <alignment horizontal="center" vertical="center"/>
    </xf>
    <xf numFmtId="166" fontId="4" fillId="4" borderId="1" xfId="0" applyNumberFormat="1" applyFont="1" applyFill="1" applyBorder="1"/>
    <xf numFmtId="166" fontId="0" fillId="7" borderId="1" xfId="0" applyNumberFormat="1" applyFill="1" applyBorder="1"/>
    <xf numFmtId="0" fontId="4" fillId="4" borderId="1" xfId="0" applyFont="1" applyFill="1" applyBorder="1" applyAlignment="1">
      <alignment horizontal="center"/>
    </xf>
    <xf numFmtId="167" fontId="4" fillId="4" borderId="1" xfId="0" applyNumberFormat="1" applyFont="1" applyFill="1" applyBorder="1"/>
    <xf numFmtId="2" fontId="0" fillId="7" borderId="1" xfId="0" applyNumberFormat="1" applyFill="1" applyBorder="1"/>
    <xf numFmtId="0" fontId="12" fillId="10" borderId="5" xfId="0" applyFont="1" applyFill="1" applyBorder="1" applyAlignment="1">
      <alignment vertical="top" wrapText="1"/>
    </xf>
    <xf numFmtId="0" fontId="6" fillId="0" borderId="0" xfId="0" applyFont="1"/>
    <xf numFmtId="0" fontId="16" fillId="0" borderId="0" xfId="0" applyFont="1"/>
    <xf numFmtId="0" fontId="10" fillId="0" borderId="0" xfId="0" applyFont="1" applyAlignment="1">
      <alignment vertical="top"/>
    </xf>
  </cellXfs>
  <cellStyles count="1">
    <cellStyle name="Normal" xfId="0" builtinId="0"/>
  </cellStyles>
  <dxfs count="9">
    <dxf>
      <font>
        <b/>
        <color rgb="FF065F46"/>
      </font>
      <fill>
        <patternFill patternType="solid">
          <bgColor rgb="FFD1FAE5"/>
        </patternFill>
      </fill>
    </dxf>
    <dxf>
      <font>
        <b/>
        <color rgb="FF92400E"/>
      </font>
      <fill>
        <patternFill patternType="solid">
          <bgColor rgb="FFFEF3C7"/>
        </patternFill>
      </fill>
    </dxf>
    <dxf>
      <font>
        <b/>
        <color rgb="FFDC2626"/>
      </font>
      <fill>
        <patternFill patternType="solid">
          <bgColor rgb="FFFECACA"/>
        </patternFill>
      </fill>
    </dxf>
    <dxf>
      <font>
        <b/>
        <color rgb="FF065F46"/>
      </font>
    </dxf>
    <dxf>
      <font>
        <b/>
        <color rgb="FFDC2626"/>
      </font>
    </dxf>
    <dxf>
      <font>
        <b/>
        <color rgb="FF065F46"/>
      </font>
    </dxf>
    <dxf>
      <font>
        <b/>
        <color rgb="FFDC2626"/>
      </font>
    </dxf>
    <dxf>
      <font>
        <b/>
        <color rgb="FF065F46"/>
      </font>
    </dxf>
    <dxf>
      <font>
        <b/>
        <color rgb="FFDC262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6"/>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36" customWidth="1"/>
    <col min="3" max="3" width="70" customWidth="1"/>
  </cols>
  <sheetData>
    <row r="1" ht="30" customHeight="1" spans="1:3" x14ac:dyDescent="0.25">
      <c r="A1" s="1" t="s">
        <v>0</v>
      </c>
      <c r="B1" s="1"/>
      <c r="C1" s="1"/>
    </row>
    <row r="2" ht="36" customHeight="1" spans="1:3" x14ac:dyDescent="0.25">
      <c r="A2" s="2" t="s">
        <v>1</v>
      </c>
      <c r="B2" s="2"/>
      <c r="C2" s="2"/>
    </row>
    <row r="4" ht="22" customHeight="1" spans="1:9" x14ac:dyDescent="0.25">
      <c r="A4" s="3" t="s">
        <v>2</v>
      </c>
      <c r="B4" s="3"/>
      <c r="C4" s="3"/>
      <c r="D4" s="3"/>
      <c r="E4" s="3"/>
      <c r="F4" s="3"/>
      <c r="G4" s="3"/>
      <c r="H4" s="3"/>
      <c r="I4" s="3"/>
    </row>
    <row r="5" ht="32" customHeight="1" spans="1:3" x14ac:dyDescent="0.25">
      <c r="A5" s="4" t="s">
        <v>3</v>
      </c>
      <c r="B5" s="4"/>
      <c r="C5" s="4"/>
    </row>
    <row r="6" ht="32" customHeight="1" spans="1:3" x14ac:dyDescent="0.25">
      <c r="A6" s="4" t="s">
        <v>4</v>
      </c>
      <c r="B6" s="4"/>
      <c r="C6" s="4"/>
    </row>
    <row r="7" ht="32" customHeight="1" spans="1:3" x14ac:dyDescent="0.25">
      <c r="A7" s="4" t="s">
        <v>5</v>
      </c>
      <c r="B7" s="4"/>
      <c r="C7" s="4"/>
    </row>
    <row r="9" ht="22" customHeight="1" spans="1:9" x14ac:dyDescent="0.25">
      <c r="A9" s="3" t="s">
        <v>6</v>
      </c>
      <c r="B9" s="3"/>
      <c r="C9" s="3"/>
      <c r="D9" s="3"/>
      <c r="E9" s="3"/>
      <c r="F9" s="3"/>
      <c r="G9" s="3"/>
      <c r="H9" s="3"/>
      <c r="I9" s="3"/>
    </row>
    <row r="10" ht="32" customHeight="1" spans="1:3" x14ac:dyDescent="0.25">
      <c r="A10" s="5" t="s">
        <v>7</v>
      </c>
      <c r="B10" s="6" t="s">
        <v>8</v>
      </c>
      <c r="C10" s="7" t="s">
        <v>9</v>
      </c>
    </row>
    <row r="11" ht="32" customHeight="1" spans="1:3" x14ac:dyDescent="0.25">
      <c r="A11" s="5" t="s">
        <v>10</v>
      </c>
      <c r="B11" s="6" t="s">
        <v>11</v>
      </c>
      <c r="C11" s="7" t="s">
        <v>12</v>
      </c>
    </row>
    <row r="12" ht="32" customHeight="1" spans="1:3" x14ac:dyDescent="0.25">
      <c r="A12" s="5" t="s">
        <v>13</v>
      </c>
      <c r="B12" s="6" t="s">
        <v>14</v>
      </c>
      <c r="C12" s="7" t="s">
        <v>15</v>
      </c>
    </row>
    <row r="13" ht="32" customHeight="1" spans="1:3" x14ac:dyDescent="0.25">
      <c r="A13" s="5" t="s">
        <v>16</v>
      </c>
      <c r="B13" s="6" t="s">
        <v>17</v>
      </c>
      <c r="C13" s="7" t="s">
        <v>18</v>
      </c>
    </row>
    <row r="15" ht="22" customHeight="1" spans="1:9" x14ac:dyDescent="0.25">
      <c r="A15" s="3" t="s">
        <v>19</v>
      </c>
      <c r="B15" s="3"/>
      <c r="C15" s="3"/>
      <c r="D15" s="3"/>
      <c r="E15" s="3"/>
      <c r="F15" s="3"/>
      <c r="G15" s="3"/>
      <c r="H15" s="3"/>
      <c r="I15" s="3"/>
    </row>
    <row r="16" ht="22" customHeight="1" spans="2:3" x14ac:dyDescent="0.25">
      <c r="B16" s="8" t="s">
        <v>20</v>
      </c>
      <c r="C16" s="9" t="s">
        <v>21</v>
      </c>
    </row>
    <row r="17" ht="22" customHeight="1" spans="2:3" x14ac:dyDescent="0.25">
      <c r="B17" s="10" t="s">
        <v>22</v>
      </c>
      <c r="C17" s="9" t="s">
        <v>23</v>
      </c>
    </row>
    <row r="18" ht="22" customHeight="1" spans="2:3" x14ac:dyDescent="0.25">
      <c r="B18" s="11" t="s">
        <v>24</v>
      </c>
      <c r="C18" s="9" t="s">
        <v>25</v>
      </c>
    </row>
    <row r="19" ht="22" customHeight="1" spans="2:3" x14ac:dyDescent="0.25">
      <c r="B19" s="12" t="s">
        <v>26</v>
      </c>
      <c r="C19" s="9" t="s">
        <v>27</v>
      </c>
    </row>
    <row r="20" ht="22" customHeight="1" spans="2:3" x14ac:dyDescent="0.25">
      <c r="B20" s="13" t="s">
        <v>28</v>
      </c>
      <c r="C20" s="9" t="s">
        <v>29</v>
      </c>
    </row>
    <row r="22" ht="22" customHeight="1" spans="1:9" x14ac:dyDescent="0.25">
      <c r="A22" s="3" t="s">
        <v>30</v>
      </c>
      <c r="B22" s="3"/>
      <c r="C22" s="3"/>
      <c r="D22" s="3"/>
      <c r="E22" s="3"/>
      <c r="F22" s="3"/>
      <c r="G22" s="3"/>
      <c r="H22" s="3"/>
      <c r="I22" s="3"/>
    </row>
    <row r="23" ht="30" customHeight="1" spans="2:3" x14ac:dyDescent="0.25">
      <c r="B23" s="14" t="s">
        <v>31</v>
      </c>
      <c r="C23" s="9" t="s">
        <v>32</v>
      </c>
    </row>
    <row r="24" ht="30" customHeight="1" spans="2:3" x14ac:dyDescent="0.25">
      <c r="B24" s="14" t="s">
        <v>33</v>
      </c>
      <c r="C24" s="9" t="s">
        <v>34</v>
      </c>
    </row>
    <row r="25" ht="30" customHeight="1" spans="2:3" x14ac:dyDescent="0.25">
      <c r="B25" s="14" t="s">
        <v>35</v>
      </c>
      <c r="C25" s="9" t="s">
        <v>36</v>
      </c>
    </row>
    <row r="26" ht="30" customHeight="1" spans="2:3" x14ac:dyDescent="0.25">
      <c r="B26" s="14" t="s">
        <v>37</v>
      </c>
      <c r="C26" s="9" t="s">
        <v>38</v>
      </c>
    </row>
  </sheetData>
  <mergeCells count="9">
    <mergeCell ref="A1:C1"/>
    <mergeCell ref="A2:C2"/>
    <mergeCell ref="A4:I4"/>
    <mergeCell ref="A5:C5"/>
    <mergeCell ref="A6:C6"/>
    <mergeCell ref="A7:C7"/>
    <mergeCell ref="A9:I9"/>
    <mergeCell ref="A15:I15"/>
    <mergeCell ref="A22:I22"/>
  </mergeCells>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howGridLines="0">
      <pane ySplit="5" topLeftCell="A6" activePane="bottomLeft" state="frozen"/>
      <selection pane="bottomLeft"/>
    </sheetView>
  </sheetViews>
  <sheetFormatPr defaultRowHeight="15" outlineLevelRow="0" outlineLevelCol="0" x14ac:dyDescent="55"/>
  <cols>
    <col min="1" max="1" width="30" customWidth="1"/>
    <col min="2" max="3" width="12" customWidth="1"/>
    <col min="4" max="4" width="16" customWidth="1"/>
    <col min="5" max="5" width="12" customWidth="1"/>
    <col min="6" max="6" width="16" customWidth="1"/>
    <col min="7" max="8" width="18" customWidth="1"/>
    <col min="9" max="9" width="26" customWidth="1"/>
  </cols>
  <sheetData>
    <row r="1" ht="24" customHeight="1" spans="1:9" x14ac:dyDescent="0.25">
      <c r="A1" s="15" t="s">
        <v>39</v>
      </c>
      <c r="B1" s="15"/>
      <c r="C1" s="15"/>
      <c r="D1" s="15"/>
      <c r="E1" s="15"/>
      <c r="F1" s="15"/>
      <c r="G1" s="15"/>
      <c r="H1" s="15"/>
      <c r="I1" s="15"/>
    </row>
    <row r="2" spans="1:9" x14ac:dyDescent="0.25">
      <c r="A2" s="16" t="s">
        <v>40</v>
      </c>
      <c r="B2" s="16"/>
      <c r="C2" s="16"/>
      <c r="D2" s="16"/>
      <c r="E2" s="16"/>
      <c r="F2" s="16"/>
      <c r="G2" s="16"/>
      <c r="H2" s="16"/>
      <c r="I2" s="16"/>
    </row>
    <row r="4" ht="32" customHeight="1" spans="1:9" x14ac:dyDescent="0.25">
      <c r="A4" s="17" t="s">
        <v>41</v>
      </c>
      <c r="B4" s="17" t="s">
        <v>42</v>
      </c>
      <c r="C4" s="17" t="s">
        <v>43</v>
      </c>
      <c r="D4" s="17" t="s">
        <v>44</v>
      </c>
      <c r="E4" s="17" t="s">
        <v>45</v>
      </c>
      <c r="F4" s="17" t="s">
        <v>46</v>
      </c>
      <c r="G4" s="17" t="s">
        <v>47</v>
      </c>
      <c r="H4" s="17" t="s">
        <v>48</v>
      </c>
      <c r="I4" s="17" t="s">
        <v>49</v>
      </c>
    </row>
    <row r="5" spans="1:9" x14ac:dyDescent="0.25">
      <c r="A5" s="18" t="s">
        <v>50</v>
      </c>
      <c r="B5" s="18"/>
      <c r="C5" s="18"/>
      <c r="D5" s="18"/>
      <c r="E5" s="18"/>
      <c r="F5" s="18"/>
      <c r="G5" s="18"/>
      <c r="H5" s="18"/>
      <c r="I5" s="18"/>
    </row>
    <row r="6" spans="1:9" x14ac:dyDescent="0.25">
      <c r="A6" s="9" t="s">
        <v>51</v>
      </c>
      <c r="B6" s="19" t="s">
        <v>52</v>
      </c>
      <c r="C6" s="19" t="s">
        <v>53</v>
      </c>
      <c r="D6" s="20">
        <v>145000</v>
      </c>
      <c r="E6" s="21">
        <v>1860</v>
      </c>
      <c r="F6" s="22">
        <f>IFERROR(D6/E6,0)</f>
      </c>
      <c r="G6" s="23">
        <f>D6*'Rate Summary'!$D$10</f>
      </c>
      <c r="H6" s="23">
        <f>D6+G6</f>
      </c>
      <c r="I6" s="24"/>
    </row>
    <row r="7" spans="1:9" x14ac:dyDescent="0.25">
      <c r="A7" s="9" t="s">
        <v>54</v>
      </c>
      <c r="B7" s="19" t="s">
        <v>55</v>
      </c>
      <c r="C7" s="19" t="s">
        <v>53</v>
      </c>
      <c r="D7" s="20">
        <v>155000</v>
      </c>
      <c r="E7" s="21">
        <v>1860</v>
      </c>
      <c r="F7" s="22">
        <f>IFERROR(D7/E7,0)</f>
      </c>
      <c r="G7" s="23">
        <f>D7*'Rate Summary'!$D$10</f>
      </c>
      <c r="H7" s="23">
        <f>D7+G7</f>
      </c>
      <c r="I7" s="24"/>
    </row>
    <row r="8" spans="1:9" x14ac:dyDescent="0.25">
      <c r="A8" s="9" t="s">
        <v>56</v>
      </c>
      <c r="B8" s="19" t="s">
        <v>52</v>
      </c>
      <c r="C8" s="19" t="s">
        <v>53</v>
      </c>
      <c r="D8" s="20">
        <v>115000</v>
      </c>
      <c r="E8" s="21">
        <v>1860</v>
      </c>
      <c r="F8" s="22">
        <f>IFERROR(D8/E8,0)</f>
      </c>
      <c r="G8" s="23">
        <f>D8*'Rate Summary'!$D$10</f>
      </c>
      <c r="H8" s="23">
        <f>D8+G8</f>
      </c>
      <c r="I8" s="24"/>
    </row>
    <row r="9" spans="1:9" x14ac:dyDescent="0.25">
      <c r="A9" s="9" t="s">
        <v>57</v>
      </c>
      <c r="B9" s="19" t="s">
        <v>52</v>
      </c>
      <c r="C9" s="19" t="s">
        <v>53</v>
      </c>
      <c r="D9" s="20">
        <v>140000</v>
      </c>
      <c r="E9" s="21">
        <v>1860</v>
      </c>
      <c r="F9" s="22">
        <f>IFERROR(D9/E9,0)</f>
      </c>
      <c r="G9" s="23">
        <f>D9*'Rate Summary'!$D$10</f>
      </c>
      <c r="H9" s="23">
        <f>D9+G9</f>
      </c>
      <c r="I9" s="24"/>
    </row>
    <row r="10" spans="1:9" x14ac:dyDescent="0.25">
      <c r="A10" s="9" t="s">
        <v>58</v>
      </c>
      <c r="B10" s="19" t="s">
        <v>59</v>
      </c>
      <c r="C10" s="19" t="s">
        <v>53</v>
      </c>
      <c r="D10" s="20">
        <v>105000</v>
      </c>
      <c r="E10" s="21">
        <v>1860</v>
      </c>
      <c r="F10" s="22">
        <f>IFERROR(D10/E10,0)</f>
      </c>
      <c r="G10" s="23">
        <f>D10*'Rate Summary'!$D$10</f>
      </c>
      <c r="H10" s="23">
        <f>D10+G10</f>
      </c>
      <c r="I10" s="24"/>
    </row>
    <row r="11" spans="1:9" x14ac:dyDescent="0.25">
      <c r="A11" s="9" t="s">
        <v>60</v>
      </c>
      <c r="B11" s="19" t="s">
        <v>52</v>
      </c>
      <c r="C11" s="19" t="s">
        <v>53</v>
      </c>
      <c r="D11" s="20">
        <v>95000</v>
      </c>
      <c r="E11" s="21">
        <v>1860</v>
      </c>
      <c r="F11" s="22">
        <f>IFERROR(D11/E11,0)</f>
      </c>
      <c r="G11" s="23">
        <f>D11*'Rate Summary'!$D$10</f>
      </c>
      <c r="H11" s="23">
        <f>D11+G11</f>
      </c>
      <c r="I11" s="24"/>
    </row>
    <row r="12" spans="1:9" x14ac:dyDescent="0.25">
      <c r="A12" s="9" t="s">
        <v>61</v>
      </c>
      <c r="B12" s="19" t="s">
        <v>59</v>
      </c>
      <c r="C12" s="19" t="s">
        <v>53</v>
      </c>
      <c r="D12" s="20">
        <v>78000</v>
      </c>
      <c r="E12" s="21">
        <v>1860</v>
      </c>
      <c r="F12" s="22">
        <f>IFERROR(D12/E12,0)</f>
      </c>
      <c r="G12" s="23">
        <f>D12*'Rate Summary'!$D$10</f>
      </c>
      <c r="H12" s="23">
        <f>D12+G12</f>
      </c>
      <c r="I12" s="24"/>
    </row>
    <row r="13" spans="1:9" x14ac:dyDescent="0.25">
      <c r="A13" s="9" t="s">
        <v>62</v>
      </c>
      <c r="B13" s="19" t="s">
        <v>52</v>
      </c>
      <c r="C13" s="19" t="s">
        <v>53</v>
      </c>
      <c r="D13" s="20">
        <v>110000</v>
      </c>
      <c r="E13" s="21">
        <v>1860</v>
      </c>
      <c r="F13" s="22">
        <f>IFERROR(D13/E13,0)</f>
      </c>
      <c r="G13" s="23">
        <f>D13*'Rate Summary'!$D$10</f>
      </c>
      <c r="H13" s="23">
        <f>D13+G13</f>
      </c>
      <c r="I13" s="24"/>
    </row>
    <row r="14" spans="1:9" x14ac:dyDescent="0.25">
      <c r="A14" s="9" t="s">
        <v>63</v>
      </c>
      <c r="B14" s="19" t="s">
        <v>59</v>
      </c>
      <c r="C14" s="19" t="s">
        <v>53</v>
      </c>
      <c r="D14" s="20">
        <v>72000</v>
      </c>
      <c r="E14" s="21">
        <v>1860</v>
      </c>
      <c r="F14" s="22">
        <f>IFERROR(D14/E14,0)</f>
      </c>
      <c r="G14" s="23">
        <f>D14*'Rate Summary'!$D$10</f>
      </c>
      <c r="H14" s="23">
        <f>D14+G14</f>
      </c>
      <c r="I14" s="24"/>
    </row>
    <row r="15" spans="1:9" x14ac:dyDescent="0.25">
      <c r="A15" s="9" t="s">
        <v>64</v>
      </c>
      <c r="B15" s="19" t="s">
        <v>55</v>
      </c>
      <c r="C15" s="19" t="s">
        <v>53</v>
      </c>
      <c r="D15" s="20">
        <v>90000</v>
      </c>
      <c r="E15" s="21">
        <v>960</v>
      </c>
      <c r="F15" s="22">
        <f>IFERROR(D15/E15,0)</f>
      </c>
      <c r="G15" s="23">
        <f>D15*'Rate Summary'!$D$10</f>
      </c>
      <c r="H15" s="23">
        <f>D15+G15</f>
      </c>
      <c r="I15" s="24"/>
    </row>
    <row r="16" spans="1:9" x14ac:dyDescent="0.25">
      <c r="A16" s="25" t="s">
        <v>65</v>
      </c>
      <c r="B16" s="25" t="s">
        <v>66</v>
      </c>
      <c r="C16" s="25" t="s">
        <v>66</v>
      </c>
      <c r="D16" s="26">
        <f>SUM(D6:D15)</f>
      </c>
      <c r="E16" s="27">
        <f>SUM(E6:E15)</f>
      </c>
      <c r="F16" s="28">
        <f>IFERROR(D16/E16,0)</f>
      </c>
      <c r="G16" s="26">
        <f>SUM(G6:G15)</f>
      </c>
      <c r="H16" s="26">
        <f>SUM(H6:H15)</f>
      </c>
      <c r="I16" s="25" t="s">
        <v>67</v>
      </c>
    </row>
    <row r="18" spans="1:9" x14ac:dyDescent="0.25">
      <c r="A18" s="18" t="s">
        <v>68</v>
      </c>
      <c r="B18" s="18"/>
      <c r="C18" s="18"/>
      <c r="D18" s="18"/>
      <c r="E18" s="18"/>
      <c r="F18" s="18"/>
      <c r="G18" s="18"/>
      <c r="H18" s="18"/>
      <c r="I18" s="18"/>
    </row>
    <row r="19" spans="1:9" x14ac:dyDescent="0.25">
      <c r="A19" s="9" t="s">
        <v>69</v>
      </c>
      <c r="B19" s="19" t="s">
        <v>59</v>
      </c>
      <c r="C19" s="19" t="s">
        <v>70</v>
      </c>
      <c r="D19" s="20">
        <v>88000</v>
      </c>
      <c r="E19" s="21">
        <v>2080</v>
      </c>
      <c r="F19" s="22">
        <f>IFERROR(D19/E19,0)</f>
      </c>
      <c r="G19" s="23">
        <f>D19*'Rate Summary'!$D$10</f>
      </c>
      <c r="H19" s="23">
        <f>D19+G19</f>
      </c>
      <c r="I19" s="24"/>
    </row>
    <row r="20" spans="1:9" x14ac:dyDescent="0.25">
      <c r="A20" s="9" t="s">
        <v>71</v>
      </c>
      <c r="B20" s="19" t="s">
        <v>59</v>
      </c>
      <c r="C20" s="19" t="s">
        <v>70</v>
      </c>
      <c r="D20" s="20">
        <v>95000</v>
      </c>
      <c r="E20" s="21">
        <v>2080</v>
      </c>
      <c r="F20" s="22">
        <f>IFERROR(D20/E20,0)</f>
      </c>
      <c r="G20" s="23">
        <f>D20*'Rate Summary'!$D$10</f>
      </c>
      <c r="H20" s="23">
        <f>D20+G20</f>
      </c>
      <c r="I20" s="24"/>
    </row>
    <row r="21" spans="1:9" x14ac:dyDescent="0.25">
      <c r="A21" s="9" t="s">
        <v>72</v>
      </c>
      <c r="B21" s="19" t="s">
        <v>59</v>
      </c>
      <c r="C21" s="19" t="s">
        <v>70</v>
      </c>
      <c r="D21" s="20">
        <v>125000</v>
      </c>
      <c r="E21" s="21">
        <v>2080</v>
      </c>
      <c r="F21" s="22">
        <f>IFERROR(D21/E21,0)</f>
      </c>
      <c r="G21" s="23">
        <f>D21*'Rate Summary'!$D$10</f>
      </c>
      <c r="H21" s="23">
        <f>D21+G21</f>
      </c>
      <c r="I21" s="24"/>
    </row>
    <row r="22" spans="1:9" x14ac:dyDescent="0.25">
      <c r="A22" s="9" t="s">
        <v>73</v>
      </c>
      <c r="B22" s="19" t="s">
        <v>59</v>
      </c>
      <c r="C22" s="19" t="s">
        <v>70</v>
      </c>
      <c r="D22" s="20">
        <v>92000</v>
      </c>
      <c r="E22" s="21">
        <v>2080</v>
      </c>
      <c r="F22" s="22">
        <f>IFERROR(D22/E22,0)</f>
      </c>
      <c r="G22" s="23">
        <f>D22*'Rate Summary'!$D$10</f>
      </c>
      <c r="H22" s="23">
        <f>D22+G22</f>
      </c>
      <c r="I22" s="24"/>
    </row>
    <row r="23" spans="1:9" x14ac:dyDescent="0.25">
      <c r="A23" s="9" t="s">
        <v>74</v>
      </c>
      <c r="B23" s="19" t="s">
        <v>59</v>
      </c>
      <c r="C23" s="19" t="s">
        <v>70</v>
      </c>
      <c r="D23" s="20">
        <v>68000</v>
      </c>
      <c r="E23" s="21">
        <v>2080</v>
      </c>
      <c r="F23" s="22">
        <f>IFERROR(D23/E23,0)</f>
      </c>
      <c r="G23" s="23">
        <f>D23*'Rate Summary'!$D$10</f>
      </c>
      <c r="H23" s="23">
        <f>D23+G23</f>
      </c>
      <c r="I23" s="24"/>
    </row>
    <row r="24" spans="1:9" x14ac:dyDescent="0.25">
      <c r="A24" s="25" t="s">
        <v>75</v>
      </c>
      <c r="B24" s="25" t="s">
        <v>66</v>
      </c>
      <c r="C24" s="25" t="s">
        <v>66</v>
      </c>
      <c r="D24" s="26">
        <f>SUM(D19:D23)</f>
      </c>
      <c r="E24" s="27">
        <f>SUM(E19:E23)</f>
      </c>
      <c r="F24" s="25" t="s">
        <v>66</v>
      </c>
      <c r="G24" s="26">
        <f>SUM(G19:G23)</f>
      </c>
      <c r="H24" s="26">
        <f>SUM(H19:H23)</f>
      </c>
      <c r="I24" s="25" t="s">
        <v>76</v>
      </c>
    </row>
  </sheetData>
  <mergeCells count="4">
    <mergeCell ref="A1:I1"/>
    <mergeCell ref="A2:I2"/>
    <mergeCell ref="A5:I5"/>
    <mergeCell ref="A18:I18"/>
  </mergeCells>
  <dataValidations count="6">
    <dataValidation type="list" allowBlank="1" sqref="B10:B15">
      <formula1>"None,Public Trust,Secret,TS,TS/SCI"</formula1>
    </dataValidation>
    <dataValidation type="list" allowBlank="1" sqref="B19:B23">
      <formula1>"None,Public Trust,Secret,TS,TS/SCI"</formula1>
    </dataValidation>
    <dataValidation type="list" allowBlank="1" sqref="B6:B15">
      <formula1>"None,Public Trust,Secret,TS,TS/SCI"</formula1>
    </dataValidation>
    <dataValidation type="list" sqref="C10:C15">
      <formula1>"Direct,Indirect"</formula1>
    </dataValidation>
    <dataValidation type="list" sqref="C19:C23">
      <formula1>"Direct,Indirect"</formula1>
    </dataValidation>
    <dataValidation type="list" sqref="C6:C15">
      <formula1>"Direct,Indirect"</formula1>
    </dataValidation>
  </dataValidations>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4"/>
  <sheetViews>
    <sheetView workbookViewId="0" showGridLines="0">
      <pane ySplit="3" topLeftCell="A4" activePane="bottomLeft" state="frozen"/>
      <selection pane="bottomLeft"/>
    </sheetView>
  </sheetViews>
  <sheetFormatPr defaultRowHeight="15" outlineLevelRow="0" outlineLevelCol="0" x14ac:dyDescent="55"/>
  <cols>
    <col min="1" max="1" width="56" customWidth="1"/>
    <col min="2" max="2" width="18" customWidth="1"/>
    <col min="3" max="3" width="36" customWidth="1"/>
  </cols>
  <sheetData>
    <row r="1" ht="24" customHeight="1" spans="1:3" x14ac:dyDescent="0.25">
      <c r="A1" s="15" t="s">
        <v>77</v>
      </c>
      <c r="B1" s="15"/>
      <c r="C1" s="15"/>
    </row>
    <row r="2" spans="1:3" x14ac:dyDescent="0.25">
      <c r="A2" s="16" t="s">
        <v>78</v>
      </c>
      <c r="B2" s="16"/>
      <c r="C2" s="16"/>
    </row>
    <row r="4" ht="22" customHeight="1" spans="1:9" x14ac:dyDescent="0.25">
      <c r="A4" s="3" t="s">
        <v>79</v>
      </c>
      <c r="B4" s="3"/>
      <c r="C4" s="3"/>
      <c r="D4" s="3"/>
      <c r="E4" s="3"/>
      <c r="F4" s="3"/>
      <c r="G4" s="3"/>
      <c r="H4" s="3"/>
      <c r="I4" s="3"/>
    </row>
    <row r="5" spans="1:3" x14ac:dyDescent="0.25">
      <c r="A5" s="9" t="s">
        <v>80</v>
      </c>
      <c r="B5" s="20">
        <v>75000</v>
      </c>
      <c r="C5" s="29"/>
    </row>
    <row r="6" spans="1:3" x14ac:dyDescent="0.25">
      <c r="A6" s="9" t="s">
        <v>81</v>
      </c>
      <c r="B6" s="20">
        <v>18000</v>
      </c>
      <c r="C6" s="29"/>
    </row>
    <row r="7" spans="1:3" x14ac:dyDescent="0.25">
      <c r="A7" s="9" t="s">
        <v>82</v>
      </c>
      <c r="B7" s="20">
        <v>600</v>
      </c>
      <c r="C7" s="29"/>
    </row>
    <row r="8" spans="1:3" x14ac:dyDescent="0.25">
      <c r="A8" s="9" t="s">
        <v>83</v>
      </c>
      <c r="B8" s="20">
        <v>8500</v>
      </c>
      <c r="C8" s="29"/>
    </row>
    <row r="9" spans="1:3" x14ac:dyDescent="0.25">
      <c r="A9" s="9" t="s">
        <v>84</v>
      </c>
      <c r="B9" s="20">
        <v>95000</v>
      </c>
      <c r="C9" s="29"/>
    </row>
    <row r="10" spans="1:3" x14ac:dyDescent="0.25">
      <c r="A10" s="9" t="s">
        <v>85</v>
      </c>
      <c r="B10" s="20">
        <v>11000</v>
      </c>
      <c r="C10" s="29"/>
    </row>
    <row r="11" spans="1:3" x14ac:dyDescent="0.25">
      <c r="A11" s="9" t="s">
        <v>86</v>
      </c>
      <c r="B11" s="20">
        <v>42000</v>
      </c>
      <c r="C11" s="29"/>
    </row>
    <row r="12" spans="1:3" x14ac:dyDescent="0.25">
      <c r="A12" s="9" t="s">
        <v>87</v>
      </c>
      <c r="B12" s="20">
        <v>56000</v>
      </c>
      <c r="C12" s="29"/>
    </row>
    <row r="13" spans="1:3" x14ac:dyDescent="0.25">
      <c r="A13" s="9" t="s">
        <v>88</v>
      </c>
      <c r="B13" s="20">
        <v>38000</v>
      </c>
      <c r="C13" s="29"/>
    </row>
    <row r="14" spans="1:3" x14ac:dyDescent="0.25">
      <c r="A14" s="9" t="s">
        <v>89</v>
      </c>
      <c r="B14" s="20">
        <v>7500</v>
      </c>
      <c r="C14" s="29"/>
    </row>
    <row r="15" spans="1:3" x14ac:dyDescent="0.25">
      <c r="A15" s="9" t="s">
        <v>90</v>
      </c>
      <c r="B15" s="20">
        <v>8500</v>
      </c>
      <c r="C15" s="29"/>
    </row>
    <row r="16" spans="1:3" x14ac:dyDescent="0.25">
      <c r="A16" s="9" t="s">
        <v>91</v>
      </c>
      <c r="B16" s="20">
        <v>5000</v>
      </c>
      <c r="C16" s="29"/>
    </row>
    <row r="17" spans="1:3" x14ac:dyDescent="0.25">
      <c r="A17" s="25" t="s">
        <v>92</v>
      </c>
      <c r="B17" s="26">
        <f>SUM(B5:B16)</f>
      </c>
      <c r="C17" s="25" t="s">
        <v>93</v>
      </c>
    </row>
    <row r="19" ht="22" customHeight="1" spans="1:9" x14ac:dyDescent="0.25">
      <c r="A19" s="3" t="s">
        <v>94</v>
      </c>
      <c r="B19" s="3"/>
      <c r="C19" s="3"/>
      <c r="D19" s="3"/>
      <c r="E19" s="3"/>
      <c r="F19" s="3"/>
      <c r="G19" s="3"/>
      <c r="H19" s="3"/>
      <c r="I19" s="3"/>
    </row>
    <row r="20" spans="1:3" x14ac:dyDescent="0.25">
      <c r="A20" s="9" t="s">
        <v>95</v>
      </c>
      <c r="B20" s="23">
        <f>Indirect_Labor_Total</f>
      </c>
      <c r="C20" s="30" t="s">
        <v>96</v>
      </c>
    </row>
    <row r="21" spans="1:3" x14ac:dyDescent="0.25">
      <c r="A21" s="9" t="s">
        <v>97</v>
      </c>
      <c r="B21" s="23">
        <f>Indirect_Labor_Total*'Rate Summary'!$D$10</f>
      </c>
      <c r="C21" s="30" t="s">
        <v>96</v>
      </c>
    </row>
    <row r="22" spans="1:3" x14ac:dyDescent="0.25">
      <c r="A22" s="9" t="s">
        <v>98</v>
      </c>
      <c r="B22" s="20">
        <v>96000</v>
      </c>
      <c r="C22" s="29"/>
    </row>
    <row r="23" spans="1:3" x14ac:dyDescent="0.25">
      <c r="A23" s="9" t="s">
        <v>99</v>
      </c>
      <c r="B23" s="20">
        <v>28000</v>
      </c>
      <c r="C23" s="29"/>
    </row>
    <row r="24" spans="1:3" x14ac:dyDescent="0.25">
      <c r="A24" s="9" t="s">
        <v>100</v>
      </c>
      <c r="B24" s="20">
        <v>12000</v>
      </c>
      <c r="C24" s="29"/>
    </row>
    <row r="25" spans="1:3" x14ac:dyDescent="0.25">
      <c r="A25" s="9" t="s">
        <v>101</v>
      </c>
      <c r="B25" s="20">
        <v>14000</v>
      </c>
      <c r="C25" s="29"/>
    </row>
    <row r="26" spans="1:3" x14ac:dyDescent="0.25">
      <c r="A26" s="9" t="s">
        <v>102</v>
      </c>
      <c r="B26" s="20">
        <v>9500</v>
      </c>
      <c r="C26" s="29"/>
    </row>
    <row r="27" spans="1:3" x14ac:dyDescent="0.25">
      <c r="A27" s="9" t="s">
        <v>103</v>
      </c>
      <c r="B27" s="20">
        <v>8000</v>
      </c>
      <c r="C27" s="29"/>
    </row>
    <row r="28" spans="1:3" x14ac:dyDescent="0.25">
      <c r="A28" s="9" t="s">
        <v>104</v>
      </c>
      <c r="B28" s="20">
        <v>6000</v>
      </c>
      <c r="C28" s="29"/>
    </row>
    <row r="29" spans="1:3" x14ac:dyDescent="0.25">
      <c r="A29" s="25" t="s">
        <v>105</v>
      </c>
      <c r="B29" s="26">
        <f>SUM(B20:B28)</f>
      </c>
      <c r="C29" s="25" t="s">
        <v>106</v>
      </c>
    </row>
    <row r="31" ht="22" customHeight="1" spans="1:9" x14ac:dyDescent="0.25">
      <c r="A31" s="3" t="s">
        <v>107</v>
      </c>
      <c r="B31" s="3"/>
      <c r="C31" s="3"/>
      <c r="D31" s="3"/>
      <c r="E31" s="3"/>
      <c r="F31" s="3"/>
      <c r="G31" s="3"/>
      <c r="H31" s="3"/>
      <c r="I31" s="3"/>
    </row>
    <row r="32" spans="1:3" x14ac:dyDescent="0.25">
      <c r="A32" s="9" t="s">
        <v>108</v>
      </c>
      <c r="B32" s="20">
        <v>220000</v>
      </c>
      <c r="C32" s="29"/>
    </row>
    <row r="33" spans="1:3" x14ac:dyDescent="0.25">
      <c r="A33" s="9" t="s">
        <v>109</v>
      </c>
      <c r="B33" s="20">
        <v>66000</v>
      </c>
      <c r="C33" s="29"/>
    </row>
    <row r="34" spans="1:3" x14ac:dyDescent="0.25">
      <c r="A34" s="9" t="s">
        <v>110</v>
      </c>
      <c r="B34" s="20">
        <v>38000</v>
      </c>
      <c r="C34" s="29"/>
    </row>
    <row r="35" spans="1:3" x14ac:dyDescent="0.25">
      <c r="A35" s="9" t="s">
        <v>111</v>
      </c>
      <c r="B35" s="20">
        <v>22000</v>
      </c>
      <c r="C35" s="29"/>
    </row>
    <row r="36" spans="1:3" x14ac:dyDescent="0.25">
      <c r="A36" s="9" t="s">
        <v>112</v>
      </c>
      <c r="B36" s="20">
        <v>45000</v>
      </c>
      <c r="C36" s="29"/>
    </row>
    <row r="37" spans="1:3" x14ac:dyDescent="0.25">
      <c r="A37" s="9" t="s">
        <v>113</v>
      </c>
      <c r="B37" s="20">
        <v>18000</v>
      </c>
      <c r="C37" s="29"/>
    </row>
    <row r="38" spans="1:3" x14ac:dyDescent="0.25">
      <c r="A38" s="9" t="s">
        <v>114</v>
      </c>
      <c r="B38" s="20">
        <v>24000</v>
      </c>
      <c r="C38" s="29"/>
    </row>
    <row r="39" spans="1:3" x14ac:dyDescent="0.25">
      <c r="A39" s="9" t="s">
        <v>115</v>
      </c>
      <c r="B39" s="20">
        <v>9000</v>
      </c>
      <c r="C39" s="29"/>
    </row>
    <row r="40" spans="1:3" x14ac:dyDescent="0.25">
      <c r="A40" s="9" t="s">
        <v>116</v>
      </c>
      <c r="B40" s="20">
        <v>28000</v>
      </c>
      <c r="C40" s="29"/>
    </row>
    <row r="41" spans="1:3" x14ac:dyDescent="0.25">
      <c r="A41" s="9" t="s">
        <v>117</v>
      </c>
      <c r="B41" s="20">
        <v>14000</v>
      </c>
      <c r="C41" s="29"/>
    </row>
    <row r="42" spans="1:3" x14ac:dyDescent="0.25">
      <c r="A42" s="9" t="s">
        <v>118</v>
      </c>
      <c r="B42" s="20">
        <v>32000</v>
      </c>
      <c r="C42" s="29"/>
    </row>
    <row r="43" spans="1:3" x14ac:dyDescent="0.25">
      <c r="A43" s="9" t="s">
        <v>119</v>
      </c>
      <c r="B43" s="20">
        <v>6000</v>
      </c>
      <c r="C43" s="29"/>
    </row>
    <row r="44" spans="1:3" x14ac:dyDescent="0.25">
      <c r="A44" s="25" t="s">
        <v>120</v>
      </c>
      <c r="B44" s="26">
        <f>SUM(B32:B43)</f>
      </c>
      <c r="C44" s="25" t="s">
        <v>121</v>
      </c>
    </row>
  </sheetData>
  <mergeCells count="5">
    <mergeCell ref="A1:C1"/>
    <mergeCell ref="A2:C2"/>
    <mergeCell ref="A4:I4"/>
    <mergeCell ref="A19:I19"/>
    <mergeCell ref="A31:I31"/>
  </mergeCells>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30" customWidth="1"/>
    <col min="3" max="7" width="16" customWidth="1"/>
    <col min="8" max="8" width="18" customWidth="1"/>
  </cols>
  <sheetData>
    <row r="1" ht="24" customHeight="1" spans="1:5" x14ac:dyDescent="0.25">
      <c r="A1" s="15" t="s">
        <v>122</v>
      </c>
      <c r="B1" s="15"/>
      <c r="C1" s="15"/>
      <c r="D1" s="15"/>
      <c r="E1" s="15"/>
    </row>
    <row r="2" spans="1:5" x14ac:dyDescent="0.25">
      <c r="A2" s="16" t="s">
        <v>123</v>
      </c>
      <c r="B2" s="16"/>
      <c r="C2" s="16"/>
      <c r="D2" s="16"/>
      <c r="E2" s="16"/>
    </row>
    <row r="4" ht="22" customHeight="1" spans="1:9" x14ac:dyDescent="0.25">
      <c r="A4" s="3" t="s">
        <v>124</v>
      </c>
      <c r="B4" s="3"/>
      <c r="C4" s="3"/>
      <c r="D4" s="3"/>
      <c r="E4" s="3"/>
      <c r="F4" s="3"/>
      <c r="G4" s="3"/>
      <c r="H4" s="3"/>
      <c r="I4" s="3"/>
    </row>
    <row r="6" spans="2:5" x14ac:dyDescent="0.25">
      <c r="B6" s="9" t="s">
        <v>125</v>
      </c>
      <c r="D6" s="31">
        <v>0.08</v>
      </c>
      <c r="E6" s="30" t="s">
        <v>126</v>
      </c>
    </row>
    <row r="7" spans="2:5" x14ac:dyDescent="0.25">
      <c r="B7" s="9" t="s">
        <v>127</v>
      </c>
      <c r="D7" s="31">
        <v>0.03</v>
      </c>
      <c r="E7" s="30" t="s">
        <v>128</v>
      </c>
    </row>
    <row r="8" spans="2:5" x14ac:dyDescent="0.25">
      <c r="B8" s="9" t="s">
        <v>129</v>
      </c>
      <c r="D8" s="31" t="s">
        <v>66</v>
      </c>
      <c r="E8" s="30" t="s">
        <v>130</v>
      </c>
    </row>
    <row r="9" ht="22" customHeight="1" spans="1:9" x14ac:dyDescent="0.25">
      <c r="A9" s="3" t="s">
        <v>131</v>
      </c>
      <c r="B9" s="3"/>
      <c r="C9" s="3"/>
      <c r="D9" s="3"/>
      <c r="E9" s="3"/>
      <c r="F9" s="3"/>
      <c r="G9" s="3"/>
      <c r="H9" s="3"/>
      <c r="I9" s="3"/>
    </row>
    <row r="10" spans="2:5" x14ac:dyDescent="0.25">
      <c r="B10" s="9" t="s">
        <v>132</v>
      </c>
      <c r="C10" s="23">
        <f>DL_Base</f>
      </c>
      <c r="D10" s="32">
        <f>IF(ISNUMBER(D8),D8,IFERROR(Fringe_Pool/DL_Base,0))</f>
      </c>
      <c r="E10" s="30" t="s">
        <v>133</v>
      </c>
    </row>
    <row r="11" spans="2:5" x14ac:dyDescent="0.25">
      <c r="B11" s="9" t="s">
        <v>134</v>
      </c>
      <c r="C11" s="23">
        <f>OH_Pool</f>
      </c>
      <c r="D11" s="32">
        <f>IFERROR(OH_Pool/DL_Base,0)</f>
      </c>
      <c r="E11" s="30" t="s">
        <v>135</v>
      </c>
    </row>
    <row r="12" spans="2:5" x14ac:dyDescent="0.25">
      <c r="B12" s="9" t="s">
        <v>136</v>
      </c>
      <c r="C12" s="23">
        <f>DL_Base*(1+D10+D11)</f>
      </c>
      <c r="E12" s="30" t="s">
        <v>137</v>
      </c>
    </row>
    <row r="13" spans="2:5" x14ac:dyDescent="0.25">
      <c r="B13" s="9" t="s">
        <v>138</v>
      </c>
      <c r="C13" s="23">
        <f>GA_Pool</f>
      </c>
      <c r="D13" s="32">
        <f>IFERROR(GA_Pool/C12,0)</f>
      </c>
      <c r="E13" s="30" t="s">
        <v>139</v>
      </c>
    </row>
    <row r="15" ht="22" customHeight="1" spans="1:9" x14ac:dyDescent="0.25">
      <c r="A15" s="3" t="s">
        <v>140</v>
      </c>
      <c r="B15" s="3"/>
      <c r="C15" s="3"/>
      <c r="D15" s="3"/>
      <c r="E15" s="3"/>
      <c r="F15" s="3"/>
      <c r="G15" s="3"/>
      <c r="H15" s="3"/>
      <c r="I15" s="3"/>
    </row>
    <row r="16" spans="2:5" x14ac:dyDescent="0.25">
      <c r="B16" s="9" t="s">
        <v>141</v>
      </c>
      <c r="D16" s="33">
        <f>(1+D10)*(1+D11)*(1+D13)</f>
      </c>
      <c r="E16" s="30" t="s">
        <v>142</v>
      </c>
    </row>
    <row r="17" spans="2:5" x14ac:dyDescent="0.25">
      <c r="B17" s="9" t="s">
        <v>143</v>
      </c>
      <c r="D17" s="33">
        <f>D16*(1+D6)</f>
      </c>
      <c r="E17" s="30" t="s">
        <v>144</v>
      </c>
    </row>
    <row r="19" ht="22" customHeight="1" spans="1:9" x14ac:dyDescent="0.25">
      <c r="A19" s="3" t="s">
        <v>145</v>
      </c>
      <c r="B19" s="3"/>
      <c r="C19" s="3"/>
      <c r="D19" s="3"/>
      <c r="E19" s="3"/>
      <c r="F19" s="3"/>
      <c r="G19" s="3"/>
      <c r="H19" s="3"/>
      <c r="I19" s="3"/>
    </row>
    <row r="20" ht="30" customHeight="1" spans="2:8" x14ac:dyDescent="0.25">
      <c r="B20" s="17" t="s">
        <v>146</v>
      </c>
      <c r="C20" s="17" t="s">
        <v>147</v>
      </c>
      <c r="D20" s="17" t="s">
        <v>148</v>
      </c>
      <c r="E20" s="17" t="s">
        <v>149</v>
      </c>
      <c r="F20" s="17" t="s">
        <v>150</v>
      </c>
      <c r="G20" s="17" t="s">
        <v>151</v>
      </c>
      <c r="H20" s="17" t="s">
        <v>152</v>
      </c>
    </row>
    <row r="21" spans="2:8" x14ac:dyDescent="0.25">
      <c r="B21" s="9" t="s">
        <v>51</v>
      </c>
      <c r="C21" s="20">
        <v>145000</v>
      </c>
      <c r="D21" s="22">
        <f>C21/1860</f>
      </c>
      <c r="E21" s="22">
        <f>D21*(1+$D$10)</f>
      </c>
      <c r="F21" s="22">
        <f>E21*(1+$D$11)</f>
      </c>
      <c r="G21" s="22">
        <f>F21*(1+$D$13)</f>
      </c>
      <c r="H21" s="34">
        <f>G21*(1+$D$6)</f>
      </c>
    </row>
    <row r="22" spans="2:8" x14ac:dyDescent="0.25">
      <c r="B22" s="9" t="s">
        <v>54</v>
      </c>
      <c r="C22" s="20">
        <v>155000</v>
      </c>
      <c r="D22" s="22">
        <f>C22/1860</f>
      </c>
      <c r="E22" s="22">
        <f>D22*(1+$D$10)</f>
      </c>
      <c r="F22" s="22">
        <f>E22*(1+$D$11)</f>
      </c>
      <c r="G22" s="22">
        <f>F22*(1+$D$13)</f>
      </c>
      <c r="H22" s="34">
        <f>G22*(1+$D$6)</f>
      </c>
    </row>
    <row r="23" spans="2:8" x14ac:dyDescent="0.25">
      <c r="B23" s="9" t="s">
        <v>56</v>
      </c>
      <c r="C23" s="20">
        <v>115000</v>
      </c>
      <c r="D23" s="22">
        <f>C23/1860</f>
      </c>
      <c r="E23" s="22">
        <f>D23*(1+$D$10)</f>
      </c>
      <c r="F23" s="22">
        <f>E23*(1+$D$11)</f>
      </c>
      <c r="G23" s="22">
        <f>F23*(1+$D$13)</f>
      </c>
      <c r="H23" s="34">
        <f>G23*(1+$D$6)</f>
      </c>
    </row>
    <row r="24" spans="2:8" x14ac:dyDescent="0.25">
      <c r="B24" s="9" t="s">
        <v>57</v>
      </c>
      <c r="C24" s="20">
        <v>140000</v>
      </c>
      <c r="D24" s="22">
        <f>C24/1860</f>
      </c>
      <c r="E24" s="22">
        <f>D24*(1+$D$10)</f>
      </c>
      <c r="F24" s="22">
        <f>E24*(1+$D$11)</f>
      </c>
      <c r="G24" s="22">
        <f>F24*(1+$D$13)</f>
      </c>
      <c r="H24" s="34">
        <f>G24*(1+$D$6)</f>
      </c>
    </row>
    <row r="25" spans="2:8" x14ac:dyDescent="0.25">
      <c r="B25" s="9" t="s">
        <v>58</v>
      </c>
      <c r="C25" s="20">
        <v>105000</v>
      </c>
      <c r="D25" s="22">
        <f>C25/1860</f>
      </c>
      <c r="E25" s="22">
        <f>D25*(1+$D$10)</f>
      </c>
      <c r="F25" s="22">
        <f>E25*(1+$D$11)</f>
      </c>
      <c r="G25" s="22">
        <f>F25*(1+$D$13)</f>
      </c>
      <c r="H25" s="34">
        <f>G25*(1+$D$6)</f>
      </c>
    </row>
    <row r="26" spans="2:8" x14ac:dyDescent="0.25">
      <c r="B26" s="9" t="s">
        <v>60</v>
      </c>
      <c r="C26" s="20">
        <v>95000</v>
      </c>
      <c r="D26" s="22">
        <f>C26/1860</f>
      </c>
      <c r="E26" s="22">
        <f>D26*(1+$D$10)</f>
      </c>
      <c r="F26" s="22">
        <f>E26*(1+$D$11)</f>
      </c>
      <c r="G26" s="22">
        <f>F26*(1+$D$13)</f>
      </c>
      <c r="H26" s="34">
        <f>G26*(1+$D$6)</f>
      </c>
    </row>
    <row r="27" spans="2:8" x14ac:dyDescent="0.25">
      <c r="B27" s="9" t="s">
        <v>61</v>
      </c>
      <c r="C27" s="20">
        <v>78000</v>
      </c>
      <c r="D27" s="22">
        <f>C27/1860</f>
      </c>
      <c r="E27" s="22">
        <f>D27*(1+$D$10)</f>
      </c>
      <c r="F27" s="22">
        <f>E27*(1+$D$11)</f>
      </c>
      <c r="G27" s="22">
        <f>F27*(1+$D$13)</f>
      </c>
      <c r="H27" s="34">
        <f>G27*(1+$D$6)</f>
      </c>
    </row>
    <row r="28" spans="2:8" x14ac:dyDescent="0.25">
      <c r="B28" s="9" t="s">
        <v>153</v>
      </c>
      <c r="C28" s="20">
        <v>110000</v>
      </c>
      <c r="D28" s="22">
        <f>C28/1860</f>
      </c>
      <c r="E28" s="22">
        <f>D28*(1+$D$10)</f>
      </c>
      <c r="F28" s="22">
        <f>E28*(1+$D$11)</f>
      </c>
      <c r="G28" s="22">
        <f>F28*(1+$D$13)</f>
      </c>
      <c r="H28" s="34">
        <f>G28*(1+$D$6)</f>
      </c>
    </row>
    <row r="31" ht="22" customHeight="1" spans="1:9" x14ac:dyDescent="0.25">
      <c r="A31" s="3" t="s">
        <v>154</v>
      </c>
      <c r="B31" s="3"/>
      <c r="C31" s="3"/>
      <c r="D31" s="3"/>
      <c r="E31" s="3"/>
      <c r="F31" s="3"/>
      <c r="G31" s="3"/>
      <c r="H31" s="3"/>
      <c r="I31" s="3"/>
    </row>
    <row r="32" ht="22" customHeight="1" spans="2:6" x14ac:dyDescent="0.25">
      <c r="B32" s="35" t="s">
        <v>155</v>
      </c>
      <c r="C32" s="35" t="s">
        <v>156</v>
      </c>
      <c r="D32" s="35" t="s">
        <v>157</v>
      </c>
      <c r="E32" s="35" t="s">
        <v>158</v>
      </c>
      <c r="F32" s="35" t="s">
        <v>159</v>
      </c>
    </row>
    <row r="33" spans="2:6" x14ac:dyDescent="0.25">
      <c r="B33" s="9" t="s">
        <v>160</v>
      </c>
      <c r="C33" s="36">
        <f>D10</f>
      </c>
      <c r="D33" s="37">
        <v>0.25</v>
      </c>
      <c r="E33" s="37">
        <v>0.35</v>
      </c>
      <c r="F33" s="38">
        <f>IF(C33&lt;D33,"BELOW typical — investigate",IF(C33&gt;E33,"ABOVE typical — review","WITHIN typical range"))</f>
      </c>
    </row>
    <row r="34" spans="2:6" x14ac:dyDescent="0.25">
      <c r="B34" s="9" t="s">
        <v>134</v>
      </c>
      <c r="C34" s="36">
        <f>D11</f>
      </c>
      <c r="D34" s="37">
        <v>0.1</v>
      </c>
      <c r="E34" s="37">
        <v>0.25</v>
      </c>
      <c r="F34" s="38">
        <f>IF(C34&lt;D34,"BELOW typical — investigate",IF(C34&gt;E34,"ABOVE typical — review","WITHIN typical range"))</f>
      </c>
    </row>
    <row r="35" spans="2:6" x14ac:dyDescent="0.25">
      <c r="B35" s="9" t="s">
        <v>138</v>
      </c>
      <c r="C35" s="36">
        <f>D13</f>
      </c>
      <c r="D35" s="37">
        <v>0.1</v>
      </c>
      <c r="E35" s="37">
        <v>0.2</v>
      </c>
      <c r="F35" s="38">
        <f>IF(C35&lt;D35,"BELOW typical — investigate",IF(C35&gt;E35,"ABOVE typical — review","WITHIN typical range"))</f>
      </c>
    </row>
    <row r="36" spans="2:6" x14ac:dyDescent="0.25">
      <c r="B36" s="9" t="s">
        <v>161</v>
      </c>
      <c r="C36" s="39">
        <f>D16</f>
      </c>
      <c r="D36" s="40">
        <v>1.5</v>
      </c>
      <c r="E36" s="40">
        <v>2.2</v>
      </c>
      <c r="F36" s="38">
        <f>IF(C36&lt;D36,"BELOW typical — investigate",IF(C36&gt;E36,"ABOVE typical — review","WITHIN typical range"))</f>
      </c>
    </row>
    <row r="38" spans="1:8" x14ac:dyDescent="0.25">
      <c r="A38" s="41" t="s">
        <v>162</v>
      </c>
      <c r="B38" s="41"/>
      <c r="C38" s="41"/>
      <c r="D38" s="41"/>
      <c r="E38" s="41"/>
      <c r="F38" s="41"/>
      <c r="G38" s="41"/>
      <c r="H38" s="41"/>
    </row>
    <row r="39" spans="1:8" x14ac:dyDescent="0.25">
      <c r="A39" s="41"/>
      <c r="B39" s="41"/>
      <c r="C39" s="41"/>
      <c r="D39" s="41"/>
      <c r="E39" s="41"/>
      <c r="F39" s="41"/>
      <c r="G39" s="41"/>
      <c r="H39" s="41"/>
    </row>
    <row r="40" spans="1:8" x14ac:dyDescent="0.25">
      <c r="A40" s="41"/>
      <c r="B40" s="41"/>
      <c r="C40" s="41"/>
      <c r="D40" s="41"/>
      <c r="E40" s="41"/>
      <c r="F40" s="41"/>
      <c r="G40" s="41"/>
      <c r="H40" s="41"/>
    </row>
  </sheetData>
  <mergeCells count="8">
    <mergeCell ref="A1:E1"/>
    <mergeCell ref="A2:E2"/>
    <mergeCell ref="A4:I4"/>
    <mergeCell ref="A9:I9"/>
    <mergeCell ref="A15:I15"/>
    <mergeCell ref="A19:I19"/>
    <mergeCell ref="A31:I31"/>
    <mergeCell ref="A38:H40"/>
  </mergeCells>
  <conditionalFormatting sqref="F33:F36">
    <cfRule type="containsText" dxfId="0" priority="1">
      <formula>NOT(ISERROR(SEARCH("WITHIN",F33)))</formula>
    </cfRule>
    <cfRule type="containsText" dxfId="1" priority="2">
      <formula>NOT(ISERROR(SEARCH("BELOW",F33)))</formula>
    </cfRule>
    <cfRule type="containsText" dxfId="2" priority="3">
      <formula>NOT(ISERROR(SEARCH("ABOVE",F33)))</formula>
    </cfRule>
  </conditionalFormatting>
  <conditionalFormatting sqref="D10">
    <cfRule type="cellIs" dxfId="3" priority="1" operator="between">
      <formula>0.25</formula>
      <formula>0.35</formula>
    </cfRule>
    <cfRule type="cellIs" dxfId="4" priority="2" operator="notBetween">
      <formula>0.25</formula>
      <formula>0.35</formula>
    </cfRule>
  </conditionalFormatting>
  <conditionalFormatting sqref="D11">
    <cfRule type="cellIs" dxfId="5" priority="1" operator="between">
      <formula>0.10</formula>
      <formula>0.25</formula>
    </cfRule>
    <cfRule type="cellIs" dxfId="6" priority="2" operator="notBetween">
      <formula>0.10</formula>
      <formula>0.25</formula>
    </cfRule>
  </conditionalFormatting>
  <conditionalFormatting sqref="D13">
    <cfRule type="cellIs" dxfId="7" priority="1" operator="between">
      <formula>0.10</formula>
      <formula>0.20</formula>
    </cfRule>
    <cfRule type="cellIs" dxfId="8" priority="2" operator="notBetween">
      <formula>0.10</formula>
      <formula>0.20</formula>
    </cfRule>
  </conditionalFormatting>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3"/>
  <sheetViews>
    <sheetView workbookViewId="0" showGridLines="0">
      <pane ySplit="1" topLeftCell="A2" activePane="bottomLeft" state="frozen"/>
      <selection pane="bottomLeft"/>
    </sheetView>
  </sheetViews>
  <sheetFormatPr defaultRowHeight="15" outlineLevelRow="0" outlineLevelCol="0" x14ac:dyDescent="55"/>
  <cols>
    <col min="1" max="1" width="4" customWidth="1"/>
    <col min="2" max="2" width="32" customWidth="1"/>
    <col min="3" max="3" width="78" customWidth="1"/>
  </cols>
  <sheetData>
    <row r="1" ht="24" customHeight="1" spans="1:3" x14ac:dyDescent="0.25">
      <c r="A1" s="15" t="s">
        <v>163</v>
      </c>
      <c r="B1" s="15"/>
      <c r="C1" s="15"/>
    </row>
    <row r="3" ht="22" customHeight="1" spans="1:9" x14ac:dyDescent="0.25">
      <c r="A3" s="3" t="s">
        <v>164</v>
      </c>
      <c r="B3" s="3"/>
      <c r="C3" s="3"/>
      <c r="D3" s="3"/>
      <c r="E3" s="3"/>
      <c r="F3" s="3"/>
      <c r="G3" s="3"/>
      <c r="H3" s="3"/>
      <c r="I3" s="3"/>
    </row>
    <row r="4" ht="50" customHeight="1" spans="2:3" x14ac:dyDescent="0.25">
      <c r="B4" s="5" t="s">
        <v>165</v>
      </c>
      <c r="C4" s="4" t="s">
        <v>166</v>
      </c>
    </row>
    <row r="5" ht="50" customHeight="1" spans="2:3" x14ac:dyDescent="0.25">
      <c r="B5" s="5" t="s">
        <v>167</v>
      </c>
      <c r="C5" s="4" t="s">
        <v>168</v>
      </c>
    </row>
    <row r="6" ht="50" customHeight="1" spans="2:3" x14ac:dyDescent="0.25">
      <c r="B6" s="5" t="s">
        <v>169</v>
      </c>
      <c r="C6" s="4" t="s">
        <v>170</v>
      </c>
    </row>
    <row r="7" ht="50" customHeight="1" spans="2:3" x14ac:dyDescent="0.25">
      <c r="B7" s="5" t="s">
        <v>171</v>
      </c>
      <c r="C7" s="4" t="s">
        <v>172</v>
      </c>
    </row>
    <row r="8" ht="50" customHeight="1" spans="2:3" x14ac:dyDescent="0.25">
      <c r="B8" s="5" t="s">
        <v>173</v>
      </c>
      <c r="C8" s="4" t="s">
        <v>174</v>
      </c>
    </row>
    <row r="9" ht="50" customHeight="1" spans="2:3" x14ac:dyDescent="0.25">
      <c r="B9" s="5" t="s">
        <v>175</v>
      </c>
      <c r="C9" s="4" t="s">
        <v>176</v>
      </c>
    </row>
    <row r="10" ht="50" customHeight="1" spans="2:3" x14ac:dyDescent="0.25">
      <c r="B10" s="5" t="s">
        <v>177</v>
      </c>
      <c r="C10" s="4" t="s">
        <v>178</v>
      </c>
    </row>
    <row r="11" ht="50" customHeight="1" spans="2:3" x14ac:dyDescent="0.25">
      <c r="B11" s="5" t="s">
        <v>179</v>
      </c>
      <c r="C11" s="4" t="s">
        <v>180</v>
      </c>
    </row>
    <row r="13" ht="22" customHeight="1" spans="1:9" x14ac:dyDescent="0.25">
      <c r="A13" s="3" t="s">
        <v>181</v>
      </c>
      <c r="B13" s="3"/>
      <c r="C13" s="3"/>
      <c r="D13" s="3"/>
      <c r="E13" s="3"/>
      <c r="F13" s="3"/>
      <c r="G13" s="3"/>
      <c r="H13" s="3"/>
      <c r="I13" s="3"/>
    </row>
    <row r="14" ht="22" customHeight="1" spans="2:3" x14ac:dyDescent="0.25">
      <c r="B14" s="42" t="s">
        <v>182</v>
      </c>
      <c r="C14" s="43" t="s">
        <v>183</v>
      </c>
    </row>
    <row r="15" ht="22" customHeight="1" spans="2:3" x14ac:dyDescent="0.25">
      <c r="B15" s="42" t="s">
        <v>184</v>
      </c>
      <c r="C15" s="43" t="s">
        <v>185</v>
      </c>
    </row>
    <row r="16" ht="22" customHeight="1" spans="2:3" x14ac:dyDescent="0.25">
      <c r="B16" s="42" t="s">
        <v>186</v>
      </c>
      <c r="C16" s="43" t="s">
        <v>187</v>
      </c>
    </row>
    <row r="17" ht="22" customHeight="1" spans="2:3" x14ac:dyDescent="0.25">
      <c r="B17" s="42" t="s">
        <v>188</v>
      </c>
      <c r="C17" s="43" t="s">
        <v>189</v>
      </c>
    </row>
    <row r="18" ht="22" customHeight="1" spans="2:3" x14ac:dyDescent="0.25">
      <c r="B18" s="42" t="s">
        <v>190</v>
      </c>
      <c r="C18" s="43" t="s">
        <v>191</v>
      </c>
    </row>
    <row r="20" ht="22" customHeight="1" spans="1:9" x14ac:dyDescent="0.25">
      <c r="A20" s="3" t="s">
        <v>192</v>
      </c>
      <c r="B20" s="3"/>
      <c r="C20" s="3"/>
      <c r="D20" s="3"/>
      <c r="E20" s="3"/>
      <c r="F20" s="3"/>
      <c r="G20" s="3"/>
      <c r="H20" s="3"/>
      <c r="I20" s="3"/>
    </row>
    <row r="21" ht="42" customHeight="1" spans="2:3" x14ac:dyDescent="0.25">
      <c r="B21" s="5" t="s">
        <v>193</v>
      </c>
      <c r="C21" s="4" t="s">
        <v>194</v>
      </c>
    </row>
    <row r="22" ht="42" customHeight="1" spans="2:3" x14ac:dyDescent="0.25">
      <c r="B22" s="5" t="s">
        <v>195</v>
      </c>
      <c r="C22" s="4" t="s">
        <v>196</v>
      </c>
    </row>
    <row r="23" ht="42" customHeight="1" spans="2:3" x14ac:dyDescent="0.25">
      <c r="B23" s="5" t="s">
        <v>197</v>
      </c>
      <c r="C23" s="4" t="s">
        <v>198</v>
      </c>
    </row>
    <row r="24" ht="42" customHeight="1" spans="2:3" x14ac:dyDescent="0.25">
      <c r="B24" s="5" t="s">
        <v>199</v>
      </c>
      <c r="C24" s="4" t="s">
        <v>200</v>
      </c>
    </row>
    <row r="25" ht="42" customHeight="1" spans="2:3" x14ac:dyDescent="0.25">
      <c r="B25" s="5" t="s">
        <v>201</v>
      </c>
      <c r="C25" s="4" t="s">
        <v>202</v>
      </c>
    </row>
    <row r="26" ht="42" customHeight="1" spans="2:3" x14ac:dyDescent="0.25">
      <c r="B26" s="5" t="s">
        <v>203</v>
      </c>
      <c r="C26" s="4" t="s">
        <v>204</v>
      </c>
    </row>
    <row r="28" ht="22" customHeight="1" spans="1:9" x14ac:dyDescent="0.25">
      <c r="A28" s="3" t="s">
        <v>205</v>
      </c>
      <c r="B28" s="3"/>
      <c r="C28" s="3"/>
      <c r="D28" s="3"/>
      <c r="E28" s="3"/>
      <c r="F28" s="3"/>
      <c r="G28" s="3"/>
      <c r="H28" s="3"/>
      <c r="I28" s="3"/>
    </row>
    <row r="29" ht="50" customHeight="1" spans="2:3" x14ac:dyDescent="0.25">
      <c r="B29" s="44" t="s">
        <v>206</v>
      </c>
      <c r="C29" s="4" t="s">
        <v>207</v>
      </c>
    </row>
    <row r="30" ht="50" customHeight="1" spans="2:3" x14ac:dyDescent="0.25">
      <c r="B30" s="44" t="s">
        <v>208</v>
      </c>
      <c r="C30" s="4" t="s">
        <v>209</v>
      </c>
    </row>
    <row r="31" ht="50" customHeight="1" spans="2:3" x14ac:dyDescent="0.25">
      <c r="B31" s="44" t="s">
        <v>210</v>
      </c>
      <c r="C31" s="4" t="s">
        <v>211</v>
      </c>
    </row>
    <row r="32" ht="50" customHeight="1" spans="2:3" x14ac:dyDescent="0.25">
      <c r="B32" s="44" t="s">
        <v>212</v>
      </c>
      <c r="C32" s="4" t="s">
        <v>213</v>
      </c>
    </row>
    <row r="33" ht="50" customHeight="1" spans="2:3" x14ac:dyDescent="0.25">
      <c r="B33" s="44" t="s">
        <v>214</v>
      </c>
      <c r="C33" s="4" t="s">
        <v>215</v>
      </c>
    </row>
  </sheetData>
  <mergeCells count="5">
    <mergeCell ref="A1:C1"/>
    <mergeCell ref="A3:I3"/>
    <mergeCell ref="A13:I13"/>
    <mergeCell ref="A20:I20"/>
    <mergeCell ref="A28:I28"/>
  </mergeCells>
  <pageMargins left="0.5" right="0.5" top="0.75" bottom="0.75" header="0.3" footer="0.3"/>
  <pageSetup paperSize="9" orientation="portrait" horizontalDpi="4294967295" verticalDpi="4294967295" scale="100" fitToWidth="1" fitToHeight="0"/>
  <headerFooter>
    <oddHeader>&amp;L&amp;B&amp;"Calibri"&amp;12CapturePilot — Federal Lead Kit&amp;R&amp;"Calibri"&amp;10Indirect Rate Calculator</oddHeader>
    <oddFooter>&amp;LFLK 08 — Price-to-Win Toolkit&amp;CPage &amp;P of &amp;N&amp;Rcapturepilot.com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Direct Labor</vt:lpstr>
      <vt:lpstr>Cost Pools</vt:lpstr>
      <vt:lpstr>Rate Summary</vt:lpstr>
      <vt:lpstr>Help</vt:lpstr>
    </vt:vector>
  </TitlesOfParts>
  <Company>CapturePilot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 — Federal Lead Kit</dc:creator>
  <dc:title/>
  <dc:subject/>
  <dc:description/>
  <cp:keywords/>
  <cp:category/>
  <cp:lastModifiedBy>CapturePilot</cp:lastModifiedBy>
  <dcterms:created xsi:type="dcterms:W3CDTF">2026-06-05T21:27:53Z</dcterms:created>
  <dcterms:modified xsi:type="dcterms:W3CDTF">2026-06-05T21:27:53Z</dcterms:modified>
</cp:coreProperties>
</file>