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cision Matrix" state="visible" r:id="rId4"/>
    <sheet sheetId="2" name="Summary" state="visible" r:id="rId5"/>
    <sheet sheetId="3" name="Scoring Guide" state="visible" r:id="rId6"/>
    <sheet sheetId="4" name="Instructions" state="visible" r:id="rId7"/>
    <sheet sheetId="5" name="Worked Example" state="visible" r:id="rId8"/>
  </sheets>
  <definedNames>
    <definedName name="opp_name">'Decision Matrix'!$C$4</definedName>
    <definedName name="sol_num">'Decision Matrix'!$F$4</definedName>
    <definedName name="agency">'Decision Matrix'!$C$5</definedName>
    <definedName name="naics">'Decision Matrix'!$F$5</definedName>
    <definedName name="value">'Decision Matrix'!$C$6</definedName>
    <definedName name="setaside">'Decision Matrix'!$F$6</definedName>
    <definedName name="pop">'Decision Matrix'!$C$7</definedName>
    <definedName name="ctype">'Decision Matrix'!$F$7</definedName>
    <definedName name="due_date">'Decision Matrix'!$C$8</definedName>
    <definedName name="incumbent_known">'Decision Matrix'!$F$8</definedName>
    <definedName name="evaluator">'Decision Matrix'!$C$9</definedName>
    <definedName name="clearance_req">'Decision Matrix'!$F$9</definedName>
    <definedName name="eval_date">'Decision Matrix'!$C$10</definedName>
    <definedName name="teaming">'Decision Matrix'!$F$10</definedName>
    <definedName name="total_weighted">'Decision Matrix'!$E$46</definedName>
    <definedName name="total_max">'Decision Matrix'!$F$46</definedName>
    <definedName name="score_pct">'Decision Matrix'!$E$47</definedName>
    <definedName name="recommendation">'Decision Matrix'!$E$48</definedName>
  </definedNames>
  <calcPr calcId="171027"/>
</workbook>
</file>

<file path=xl/sharedStrings.xml><?xml version="1.0" encoding="utf-8"?>
<sst xmlns="http://schemas.openxmlformats.org/spreadsheetml/2006/main" count="276" uniqueCount="198">
  <si>
    <t>BID / NO-BID DECISION MATRIX</t>
  </si>
  <si>
    <t>CapturePilot  -  Capture intelligence for government contractors</t>
  </si>
  <si>
    <t>Opportunity Name</t>
  </si>
  <si>
    <t>Solicitation #</t>
  </si>
  <si>
    <t>Agency / Office</t>
  </si>
  <si>
    <t>NAICS Code</t>
  </si>
  <si>
    <t>Contract Value (USD)</t>
  </si>
  <si>
    <t>Set-Aside Type</t>
  </si>
  <si>
    <t>Period of Performance</t>
  </si>
  <si>
    <t>Contract Type</t>
  </si>
  <si>
    <t>Proposal Due Date</t>
  </si>
  <si>
    <t>Incumbent Known?</t>
  </si>
  <si>
    <t>Evaluated By</t>
  </si>
  <si>
    <t>Clearance Required?</t>
  </si>
  <si>
    <t>Date Evaluated</t>
  </si>
  <si>
    <t>Teaming Partner?</t>
  </si>
  <si>
    <t>#</t>
  </si>
  <si>
    <t>SCORING CRITERION</t>
  </si>
  <si>
    <t xml:space="preserve">WEIGHT
(1-5)</t>
  </si>
  <si>
    <t xml:space="preserve">SCORE
(0-5)</t>
  </si>
  <si>
    <t xml:space="preserve">WEIGHTED
SCORE</t>
  </si>
  <si>
    <t xml:space="preserve">MAX
POSSIBLE</t>
  </si>
  <si>
    <t>NOTES / EVIDENCE</t>
  </si>
  <si>
    <t>STRATEGIC FIT  -  Does this opportunity belong in our pipeline at all?</t>
  </si>
  <si>
    <t>NAICS code alignment with our core capabilities</t>
  </si>
  <si>
    <t>Opportunity type matches our target contract vehicles</t>
  </si>
  <si>
    <t>Agency is in our target agency list</t>
  </si>
  <si>
    <t>Geographic location is feasible for our team</t>
  </si>
  <si>
    <t>Opportunity supports long-term capture strategy</t>
  </si>
  <si>
    <t>COMPETITIVE POSITION  -  Can we actually win against the field that's likely to show up?</t>
  </si>
  <si>
    <t>We have prior relationship with KO / COR / end user</t>
  </si>
  <si>
    <t>We are the incumbent or have teamed with incumbent</t>
  </si>
  <si>
    <t>We can differentiate from likely competitors</t>
  </si>
  <si>
    <t>We have relevant past performance (direct match)</t>
  </si>
  <si>
    <t>Set-aside type favors our certifications</t>
  </si>
  <si>
    <t>CAPTURE READINESS  -  Can we mount a credible response without breaking the company?</t>
  </si>
  <si>
    <t>We have the personnel / capacity to respond in time</t>
  </si>
  <si>
    <t>We have or can assemble the right team / subs</t>
  </si>
  <si>
    <t>Required clearances are held or obtainable</t>
  </si>
  <si>
    <t>Capture resources (proposal manager, writer) available</t>
  </si>
  <si>
    <t>Solution / technical approach is clear to us now</t>
  </si>
  <si>
    <t>WIN PROBABILITY FACTORS  -  The intangibles that determine PWin once you actually submit.</t>
  </si>
  <si>
    <t>We have intelligence on the customer's priorities</t>
  </si>
  <si>
    <t>We can price competitively (LPTA or best-value)</t>
  </si>
  <si>
    <t>No disqualifying compliance gaps (reps &amp; certs)</t>
  </si>
  <si>
    <t>Evaluation criteria favor our strengths</t>
  </si>
  <si>
    <t>We have attended industry days / responded to RFIs</t>
  </si>
  <si>
    <t>BUSINESS VALUE  -  Even if we can win, is this the right use of B&amp;P dollars?</t>
  </si>
  <si>
    <t>Contract value meets our revenue threshold</t>
  </si>
  <si>
    <t>Win opens door to larger follow-on work</t>
  </si>
  <si>
    <t>Profit margin is acceptable given effort required</t>
  </si>
  <si>
    <t>Strategic value (agency expansion, certification use)</t>
  </si>
  <si>
    <t>Resource investment is proportional to potential</t>
  </si>
  <si>
    <t>TOTAL WEIGHTED SCORE</t>
  </si>
  <si>
    <t>Weighted score / Max possible</t>
  </si>
  <si>
    <t>SCORE PERCENTAGE</t>
  </si>
  <si>
    <t>0-40% No Bid  |  40-60% Review  |  60%+ Bid</t>
  </si>
  <si>
    <t>RECOMMENDATION</t>
  </si>
  <si>
    <t>Capture Lead Sign-Off:</t>
  </si>
  <si>
    <t>BD Director Approval:</t>
  </si>
  <si>
    <t>CapturePilot Federal Lead Kit  -  capturepilot.com  -  04 Bid/No-Bid Decision Matrix</t>
  </si>
  <si>
    <t>BID / NO-BID SUMMARY</t>
  </si>
  <si>
    <t>Set-Aside</t>
  </si>
  <si>
    <t>Contract Value</t>
  </si>
  <si>
    <t>CATEGORY BREAKDOWN</t>
  </si>
  <si>
    <t>Category</t>
  </si>
  <si>
    <t>What it measures</t>
  </si>
  <si>
    <t>Weighted</t>
  </si>
  <si>
    <t>Max</t>
  </si>
  <si>
    <t>Pct</t>
  </si>
  <si>
    <t>Status</t>
  </si>
  <si>
    <t>STRATEGIC FIT</t>
  </si>
  <si>
    <t>Does this opportunity belong in our pipeline at all?</t>
  </si>
  <si>
    <t>COMPETITIVE POSITION</t>
  </si>
  <si>
    <t>Can we actually win against the field that's likely to show up?</t>
  </si>
  <si>
    <t>CAPTURE READINESS</t>
  </si>
  <si>
    <t>Can we mount a credible response without breaking the company?</t>
  </si>
  <si>
    <t>WIN PROBABILITY FACTORS</t>
  </si>
  <si>
    <t>The intangibles that determine PWin once you actually submit.</t>
  </si>
  <si>
    <t>BUSINESS VALUE</t>
  </si>
  <si>
    <t>Even if we can win, is this the right use of B&amp;P dollars?</t>
  </si>
  <si>
    <t>OVERALL RECOMMENDATION</t>
  </si>
  <si>
    <t>Total weighted score</t>
  </si>
  <si>
    <t>Max possible</t>
  </si>
  <si>
    <t>Score %</t>
  </si>
  <si>
    <t>SCORING GUIDE  -  How to rate each criterion</t>
  </si>
  <si>
    <t>SCORE DEFINITIONS  -  applies to every criterion</t>
  </si>
  <si>
    <t>STRONG</t>
  </si>
  <si>
    <t>We clearly meet or exceed this criterion. Documented evidence is on file (signed CPARs, named POC, executed teaming agreement, etc.).</t>
  </si>
  <si>
    <t>GOOD</t>
  </si>
  <si>
    <t>We generally meet this with minor gaps. We're not bluffing in the proposal.</t>
  </si>
  <si>
    <t>FAIR</t>
  </si>
  <si>
    <t>We partially meet this. Closing the gap takes real effort and the gap is visible to evaluators.</t>
  </si>
  <si>
    <t>WEAK</t>
  </si>
  <si>
    <t>We barely meet this. The gap is a real bid risk. We will have to mitigate in the proposal.</t>
  </si>
  <si>
    <t>POOR</t>
  </si>
  <si>
    <t>We don't meet this or evidence is absent. Honest answer: if this matters, we shouldn't bid.</t>
  </si>
  <si>
    <t>N/A</t>
  </si>
  <si>
    <t>Not applicable to this opportunity. Excluded from both numerator and denominator.</t>
  </si>
  <si>
    <t>CRITERION GUIDE  -  what to consider when scoring</t>
  </si>
  <si>
    <t/>
  </si>
  <si>
    <t>Criterion</t>
  </si>
  <si>
    <t>Wt</t>
  </si>
  <si>
    <t>What to consider</t>
  </si>
  <si>
    <t>Do we hold this NAICS on our SAM.gov registration? Is it a primary code, not an add-on?</t>
  </si>
  <si>
    <t>FFP / T&amp;M / CPFF / IDIQ — does the contract type match how we usually deliver?</t>
  </si>
  <si>
    <t>Is this one of our top-five target agencies? Do we have an existing relationship anywhere in the org?</t>
  </si>
  <si>
    <t>Can we deliver on-site if required? Do we have staff within reasonable distance of the place of performance?</t>
  </si>
  <si>
    <t>Does winning this open a vehicle, agency, or follow-on we actually want to be in for the next five years?</t>
  </si>
  <si>
    <t>Have we met the KO, COR, or program office in the last 12 months? Not just a LinkedIn connection — a real conversation.</t>
  </si>
  <si>
    <t>Incumbency or teaming with the incumbent is worth roughly 20 PWin points. If neither, score this honestly.</t>
  </si>
  <si>
    <t>Can we name 3 discriminators competitors cannot match? Write them in the notes column.</t>
  </si>
  <si>
    <t>Do we have 2+ references at similar scope, dollar value, and agency type? Federal past performance beats commercial.</t>
  </si>
  <si>
    <t>Does our 8(a) / HUBZone / SDVOSB / WOSB status match the set-aside? If unrestricted, we're competing against everyone.</t>
  </si>
  <si>
    <t>Can we staff a proposal team without pulling people off paying work? B&amp;P costs are real.</t>
  </si>
  <si>
    <t>Do we have signed teaming agreements, or at least established sub relationships we can mobilize this week?</t>
  </si>
  <si>
    <t>Do key staff already hold Secret / TS / TS-SCI? Don't bid 'we'll get them cleared' — that almost never works.</t>
  </si>
  <si>
    <t>Do we have a proposal manager, technical writer, and graphics support? Consultant or in-house both count.</t>
  </si>
  <si>
    <t>Could we sketch the technical approach on a napkin today? If not, we're going to learn on the proposal — that's expensive.</t>
  </si>
  <si>
    <t>Do we know their stated priorities, pain points, and how the incumbent is doing? FOIA, FPDS, and conversations are all valid sources.</t>
  </si>
  <si>
    <t>Can we price within plus or minus 5% of the likely winning price? Use FPDS history for similar work as your anchor.</t>
  </si>
  <si>
    <t>Reps and certs current? CMMC level adequate? No outstanding debarments, suspensions, or pending size protests?</t>
  </si>
  <si>
    <t>Look at Section M. Do the technical, management, and past performance weights play to our strengths or our gaps?</t>
  </si>
  <si>
    <t>Did we attend the industry day or respond to the sources sought? Shaping happens 6-18 months before solicitation.</t>
  </si>
  <si>
    <t>Is the total contract value above the minimum we set in our annual plan? Don't bid 50K opportunities if our floor is 250K.</t>
  </si>
  <si>
    <t>Is this a gateway contract with likely option years, task orders, or follow-on awards? Small first deals can be worth it.</t>
  </si>
  <si>
    <t>After B&amp;P costs, indirect costs, and delivery cost, can we still hit our target margin? Run the numbers, don't guess.</t>
  </si>
  <si>
    <t>Does winning expand our past performance portfolio into a new agency, vehicle, or capability we want to grow?</t>
  </si>
  <si>
    <t>Is the B&amp;P investment reasonable given expected TCV? Spending 60K to chase a 200K one-year deal almost never makes sense.</t>
  </si>
  <si>
    <t>INSTRUCTIONS  -  How to use this workbook</t>
  </si>
  <si>
    <t>Why this exists</t>
  </si>
  <si>
    <t>Most small businesses lose money by bidding everything that looks vaguely relevant. B&amp;P costs run 1-5% of contract value, and a bad bid costs you the chance to chase a good one. This matrix forces a 10-minute structured conversation before you commit.</t>
  </si>
  <si>
    <t>It's built around 25 criteria split into 5 categories. Each criterion has a weight (1-5, how much it matters) and a score (0-5, how strong we are on it). The output is a weighted percentage and a Bid / Review / No-Bid recommendation.</t>
  </si>
  <si>
    <t>Step-by-step</t>
  </si>
  <si>
    <t>1</t>
  </si>
  <si>
    <t>Fill in the opportunity metadata at the top of the Decision Matrix tab. Solicitation number, agency, value, due date, set-aside, contract type, NAICS. The Summary tab pulls from these cells, so they're worth getting right.</t>
  </si>
  <si>
    <t>2</t>
  </si>
  <si>
    <t>Adjust weights in column C if a criterion matters more or less for your business. The defaults are tuned for a typical small federal contractor. If you sell only to DoD, bump 'target agency' from 4 to 5. If you don't do classified work, drop 'clearances held' to 1.</t>
  </si>
  <si>
    <t>3</t>
  </si>
  <si>
    <t>Score each criterion 0-5 using the dropdown in column D. Use the Scoring Guide tab for definitions. Leave it blank if you genuinely haven't formed an opinion yet (blank rows are excluded from the percentage).</t>
  </si>
  <si>
    <t>4</t>
  </si>
  <si>
    <t>Use the Notes column to record evidence. 'Met COR Lisa Chang at AFCEA West, March 2026.' 'No relevant past performance above 500K.' 'Incumbent is Booz, two task orders, $8.2M total.' This is what makes the matrix defensible six months from now when someone asks why you bid.</t>
  </si>
  <si>
    <t>5</t>
  </si>
  <si>
    <t>Read the recommendation. Below 40% means no bid - the math is telling you to spend B&amp;P somewhere else. 40-60% means review with the team - usually there's one or two weak categories that, if fixed, would make this a real bid. 60% plus is a bid - move it into your capture pipeline.</t>
  </si>
  <si>
    <t>Reading the thresholds</t>
  </si>
  <si>
    <t>The 40/60 thresholds aren't magic. They came from looking at hundreds of small business bid decisions and noticing that opportunities scoring below 40% on a weighted criteria model lose more than 90% of the time. Opportunities scoring above 60% win roughly 30-50%, which is high for federal work.</t>
  </si>
  <si>
    <t>If you're consistently bidding things in the 40-50% range, your win rate will live around 10-15% and your B&amp;P spend will eat your margin. That's the actual problem this tool solves.</t>
  </si>
  <si>
    <t>When to ignore the score</t>
  </si>
  <si>
    <t>Three legitimate reasons to bid a 35% opportunity: (1) it's a strategic must-win for an agency relationship you've been building for years, (2) the customer has signaled they will award to you and the solicitation is mostly procedural, (3) you're using it to shape - the bid itself is part of intel-gathering for a larger follow-on.</t>
  </si>
  <si>
    <t>If none of those three apply and the score is below 40%, don't bid. Spend the time on capture for a better target.</t>
  </si>
  <si>
    <t>Weight tuning</t>
  </si>
  <si>
    <t>Weights are 1 (low) to 5 (critical). The default profile assumes a typical 8(a) or small business services contractor going after agencies they already know. Two profiles worth considering:</t>
  </si>
  <si>
    <t>Hardware / product reseller: bump Pricing competitiveness to 5, drop Customer intelligence to 3, drop Past performance to 4. Price wins more often than relationships in product.</t>
  </si>
  <si>
    <t>Niche professional services: bump Past performance to 5, bump Differentiation to 5, drop Set-aside fit to 2. Your edge is expertise, not certification.</t>
  </si>
  <si>
    <t>Tabs in this workbook</t>
  </si>
  <si>
    <t>Decision Matrix - the working sheet. Enter scores here.</t>
  </si>
  <si>
    <t>Summary - one-page output. Print this for the bid review meeting.</t>
  </si>
  <si>
    <t>Scoring Guide - definitions for every criterion. Send this to anyone scoring with you so you're using the same scale.</t>
  </si>
  <si>
    <t>Instructions - this page.</t>
  </si>
  <si>
    <t>If you change the criteria</t>
  </si>
  <si>
    <t>Adding or removing criteria breaks the per-category roll-up on the Summary tab (it expects 5 items per category). Adjust the SUM ranges on the Summary tab if you restructure. Adjusting weights is safe at any time - the formulas use whatever is in column C.</t>
  </si>
  <si>
    <t>WORKED EXAMPLE  -  GSA Janitorial Services, 8(a) sole source</t>
  </si>
  <si>
    <t>Hypothetical: small janitorial firm with 8(a), HUBZone-adjacent, three years of federal past performance at FBI and SSA. NAICS 561720. Considering a 2.4M GSA 8(a) sole-source opportunity, 5-year base + options, place of performance Atlanta. They have a small office in Decatur, so geography works.</t>
  </si>
  <si>
    <t>CRITERION</t>
  </si>
  <si>
    <t>WT</t>
  </si>
  <si>
    <t>SCORE</t>
  </si>
  <si>
    <t>WEIGHTED</t>
  </si>
  <si>
    <t>MAX</t>
  </si>
  <si>
    <t>WHY</t>
  </si>
  <si>
    <t>Primary NAICS, held on SAM for four years.</t>
  </si>
  <si>
    <t>FFP services - exactly what we deliver.</t>
  </si>
  <si>
    <t>GSA is top agency on our list, KO knows us.</t>
  </si>
  <si>
    <t>Atlanta office, 30-minute drive to site.</t>
  </si>
  <si>
    <t>Wins us a five-year footprint at GSA Region 4.</t>
  </si>
  <si>
    <t>Have met the COR twice, but new KO assigned last month.</t>
  </si>
  <si>
    <t>Not incumbent - ABC Services Inc. holds it.</t>
  </si>
  <si>
    <t>Two real discriminators: green cleaning cert, local supervisor.</t>
  </si>
  <si>
    <t>Three CPARs at similar scope and dollar value.</t>
  </si>
  <si>
    <t>8(a) sole source - we're the only one allowed to bid.</t>
  </si>
  <si>
    <t>Have the people; one project wraps next month.</t>
  </si>
  <si>
    <t>Subs already vetted from prior FBI contract.</t>
  </si>
  <si>
    <t>No clearance required - N/A.</t>
  </si>
  <si>
    <t>Have an external proposal consultant on retainer.</t>
  </si>
  <si>
    <t>Janitorial is bread-and-butter; approach is obvious.</t>
  </si>
  <si>
    <t>Customer wants quality + green cleaning - we know this from RFI.</t>
  </si>
  <si>
    <t>Within 3% of FPDS comp prices for similar SOWs.</t>
  </si>
  <si>
    <t>Reps and certs current as of last month.</t>
  </si>
  <si>
    <t>60/40 technical/price - we're stronger on technical.</t>
  </si>
  <si>
    <t>Did not attend the industry day - missed it.</t>
  </si>
  <si>
    <t>2.4M is well above our 500K floor.</t>
  </si>
  <si>
    <t>GSA wide-area BPA likely to follow.</t>
  </si>
  <si>
    <t>Margin penciled at 14% after B&amp;P.</t>
  </si>
  <si>
    <t>Opens GSA Region 4 for follow-on work.</t>
  </si>
  <si>
    <t>B&amp;P estimate is 18K against 2.4M TCV - proportionate.</t>
  </si>
  <si>
    <t>TOTAL</t>
  </si>
  <si>
    <t>82.9%</t>
  </si>
  <si>
    <t>RECOMMENDATION: BID  -  Strong go signal</t>
  </si>
  <si>
    <t>What this tells us: the firm is strong on strategic fit, capture readiness, and business value. The one weakness is incumbency (criterion 7) - someone else holds it. The 8(a) sole-source structure neutralizes that risk. The missed industry day is a minor B&amp;P penalty, not a deal-killer. Bid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</si>
</sst>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
    <numFmt numFmtId="165" formatCode="mm/dd/yyyy"/>
    <numFmt numFmtId="166" formatCode="0.0%"/>
  </numFmts>
  <fonts count="34" x14ac:knownFonts="1">
    <font>
      <color theme="1"/>
      <family val="2"/>
      <scheme val="minor"/>
      <sz val="11"/>
      <name val="Calibri"/>
    </font>
    <font>
      <b/>
      <color rgb="FFFFFFFF"/>
      <sz val="22"/>
      <name val="Calibri"/>
    </font>
    <font>
      <i/>
      <color rgb="FFFFFFFF"/>
      <sz val="11"/>
      <name val="Calibri"/>
    </font>
    <font>
      <b/>
      <color rgb="FF334155"/>
      <sz val="10"/>
      <name val="Calibri"/>
    </font>
    <font>
      <color rgb="FF0F172A"/>
      <sz val="11"/>
      <name val="Calibri"/>
    </font>
    <font>
      <b/>
      <color rgb="FFFFFFFF"/>
      <sz val="10"/>
      <name val="Calibri"/>
    </font>
    <font>
      <color rgb="FF334155"/>
      <sz val="10"/>
      <name val="Consolas"/>
    </font>
    <font>
      <b/>
      <color rgb="FF334155"/>
      <sz val="11"/>
      <name val="Calibri"/>
    </font>
    <font>
      <b/>
      <color rgb="FF0F172A"/>
      <sz val="11"/>
      <name val="Calibri"/>
    </font>
    <font>
      <b/>
      <color rgb="FF047857"/>
      <sz val="11"/>
      <name val="Calibri"/>
    </font>
    <font>
      <color rgb="FF334155"/>
      <sz val="11"/>
      <name val="Calibri"/>
    </font>
    <font>
      <i/>
      <color rgb="FF334155"/>
      <sz val="10"/>
      <name val="Calibri"/>
    </font>
    <font>
      <b/>
      <color rgb="FFFFFFFF"/>
      <sz val="12"/>
      <name val="Calibri"/>
    </font>
    <font>
      <b/>
      <color rgb="FF047857"/>
      <sz val="14"/>
      <name val="Calibri"/>
    </font>
    <font>
      <b/>
      <color rgb="FF334155"/>
      <sz val="14"/>
      <name val="Calibri"/>
    </font>
    <font>
      <b/>
      <color rgb="FF0F172A"/>
      <sz val="16"/>
      <name val="Calibri"/>
    </font>
    <font>
      <b/>
      <color rgb="FF0F172A"/>
      <sz val="14"/>
      <name val="Calibri"/>
    </font>
    <font>
      <i/>
      <color rgb="FF334155"/>
      <sz val="9"/>
      <name val="Calibri"/>
    </font>
    <font>
      <b/>
      <color rgb="FFFFFFFF"/>
      <sz val="20"/>
      <name val="Calibri"/>
    </font>
    <font>
      <b/>
      <sz val="11"/>
      <name val="Calibri"/>
    </font>
    <font>
      <b/>
      <color rgb="FF0F172A"/>
      <sz val="18"/>
      <name val="Calibri"/>
    </font>
    <font>
      <b/>
      <color rgb="FFFFFFFF"/>
      <sz val="18"/>
      <name val="Calibri"/>
    </font>
    <font>
      <b/>
      <color rgb="FFFFFFFF"/>
      <sz val="11"/>
      <name val="Calibri"/>
    </font>
    <font>
      <color rgb="FF0F172A"/>
      <sz val="10"/>
      <name val="Calibri"/>
    </font>
    <font>
      <b/>
      <color rgb="FF92400E"/>
      <sz val="14"/>
      <name val="Calibri"/>
    </font>
    <font>
      <b/>
      <color rgb="FF92400E"/>
      <sz val="11"/>
      <name val="Calibri"/>
    </font>
    <font>
      <b/>
      <color rgb="FF991B1B"/>
      <sz val="14"/>
      <name val="Calibri"/>
    </font>
    <font>
      <b/>
      <color rgb="FF991B1B"/>
      <sz val="11"/>
      <name val="Calibri"/>
    </font>
    <font>
      <b/>
      <color rgb="FF0F172A"/>
      <sz val="10"/>
      <name val="Calibri"/>
    </font>
    <font>
      <b/>
      <color rgb="FF047857"/>
      <sz val="11"/>
      <name val="Consolas"/>
    </font>
    <font>
      <b/>
      <color rgb="FF047857"/>
      <sz val="10"/>
      <name val="Calibri"/>
    </font>
    <font>
      <color rgb="FF334155"/>
      <sz val="10"/>
      <name val="Calibri"/>
    </font>
    <font>
      <b/>
      <color rgb="FF047857"/>
      <sz val="16"/>
      <name val="Calibri"/>
    </font>
    <font>
      <i/>
      <color rgb="FF0F172A"/>
      <sz val="11"/>
      <name val="Calibri"/>
    </font>
  </fonts>
  <fills count="12">
    <fill>
      <patternFill patternType="none"/>
    </fill>
    <fill>
      <patternFill patternType="gray125"/>
    </fill>
    <fill>
      <patternFill patternType="solid">
        <fgColor rgb="FF0F172A"/>
      </patternFill>
    </fill>
    <fill>
      <patternFill patternType="solid">
        <fgColor rgb="FF10B981"/>
      </patternFill>
    </fill>
    <fill>
      <patternFill patternType="solid">
        <fgColor rgb="FFF8FAFC"/>
      </patternFill>
    </fill>
    <fill>
      <patternFill patternType="solid">
        <fgColor rgb="FFFFFFFF"/>
      </patternFill>
    </fill>
    <fill>
      <patternFill patternType="solid">
        <fgColor rgb="FF047857"/>
      </patternFill>
    </fill>
    <fill>
      <patternFill patternType="solid">
        <fgColor rgb="FFF1F5F9"/>
      </patternFill>
    </fill>
    <fill>
      <patternFill patternType="solid">
        <fgColor rgb="FFFFFBEB"/>
      </patternFill>
    </fill>
    <fill>
      <patternFill patternType="solid">
        <fgColor rgb="FFD1FAE5"/>
      </patternFill>
    </fill>
    <fill>
      <patternFill patternType="solid">
        <fgColor rgb="FFFEF3C7"/>
      </patternFill>
    </fill>
    <fill>
      <patternFill patternType="solid">
        <fgColor rgb="FFFEE2E2"/>
      </patternFill>
    </fill>
  </fills>
  <borders count="5">
    <border>
      <left/>
      <right/>
      <top/>
      <bottom/>
      <diagonal/>
    </border>
    <border>
      <left/>
      <right/>
      <top/>
      <bottom style="thin">
        <color rgb="FFE2E8F0"/>
      </bottom>
      <diagonal/>
    </border>
    <border>
      <left/>
      <right/>
      <top style="medium">
        <color rgb="FF0F172A"/>
      </top>
      <bottom style="medium">
        <color rgb="FF10B981"/>
      </bottom>
      <diagonal/>
    </border>
    <border>
      <left style="thin">
        <color rgb="FFF59E0B"/>
      </left>
      <right style="thin">
        <color rgb="FFF59E0B"/>
      </right>
      <top style="thin">
        <color rgb="FFF59E0B"/>
      </top>
      <bottom style="thin">
        <color rgb="FFF59E0B"/>
      </bottom>
      <diagonal/>
    </border>
    <border>
      <left/>
      <right/>
      <top/>
      <bottom style="thin">
        <color rgb="FF334155"/>
      </bottom>
      <diagonal/>
    </border>
  </borders>
  <cellStyleXfs count="1">
    <xf numFmtId="0" fontId="0" fillId="0" borderId="0"/>
  </cellStyleXfs>
  <cellXfs count="85">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0" xfId="0" applyFont="1" applyFill="1" applyAlignment="1">
      <alignment horizontal="right" vertical="center" indent="1"/>
    </xf>
    <xf numFmtId="0" fontId="4" fillId="5" borderId="1" xfId="0" applyFont="1" applyFill="1" applyBorder="1" applyAlignment="1">
      <alignment horizontal="left" vertical="center" indent="1"/>
    </xf>
    <xf numFmtId="164" fontId="4" fillId="5" borderId="1" xfId="0" applyNumberFormat="1" applyFont="1" applyFill="1" applyBorder="1" applyAlignment="1">
      <alignment horizontal="left" vertical="center" indent="1"/>
    </xf>
    <xf numFmtId="165" fontId="4" fillId="5" borderId="1" xfId="0" applyNumberFormat="1" applyFont="1" applyFill="1" applyBorder="1" applyAlignment="1">
      <alignment horizontal="left" vertical="center" indent="1"/>
    </xf>
    <xf numFmtId="0" fontId="5" fillId="2" borderId="2" xfId="0" applyFont="1" applyFill="1" applyBorder="1" applyAlignment="1">
      <alignment horizontal="center" vertical="center" wrapText="1"/>
    </xf>
    <xf numFmtId="0" fontId="5" fillId="6" borderId="0" xfId="0" applyFont="1" applyFill="1" applyAlignment="1">
      <alignment horizontal="left" vertical="center" indent="1"/>
    </xf>
    <xf numFmtId="0" fontId="6" fillId="5" borderId="1" xfId="0" applyFont="1" applyFill="1" applyBorder="1" applyAlignment="1">
      <alignment horizontal="center" vertical="center"/>
    </xf>
    <xf numFmtId="0" fontId="4" fillId="5" borderId="1" xfId="0" applyFont="1" applyFill="1" applyBorder="1" applyAlignment="1">
      <alignment horizontal="left" vertical="center" wrapText="1" indent="1"/>
    </xf>
    <xf numFmtId="0" fontId="7" fillId="7" borderId="1" xfId="0" applyFont="1" applyFill="1" applyBorder="1" applyAlignment="1">
      <alignment horizontal="center" vertical="center"/>
    </xf>
    <xf numFmtId="0" fontId="8" fillId="8" borderId="3" xfId="0" applyFont="1" applyFill="1" applyBorder="1" applyAlignment="1">
      <alignment horizontal="center" vertical="center"/>
    </xf>
    <xf numFmtId="1" fontId="9" fillId="5" borderId="1" xfId="0" applyNumberFormat="1" applyFont="1" applyFill="1" applyBorder="1" applyAlignment="1">
      <alignment horizontal="center" vertical="center"/>
    </xf>
    <xf numFmtId="1" fontId="10" fillId="5" borderId="1" xfId="0" applyNumberFormat="1" applyFont="1" applyFill="1" applyBorder="1" applyAlignment="1">
      <alignment horizontal="center" vertical="center"/>
    </xf>
    <xf numFmtId="0" fontId="11" fillId="5" borderId="1" xfId="0" applyFont="1" applyFill="1" applyBorder="1" applyAlignment="1">
      <alignment horizontal="left" vertical="center" wrapText="1" indent="1"/>
    </xf>
    <xf numFmtId="0" fontId="6" fillId="4" borderId="1" xfId="0" applyFont="1" applyFill="1" applyBorder="1" applyAlignment="1">
      <alignment horizontal="center" vertical="center"/>
    </xf>
    <xf numFmtId="0" fontId="4" fillId="4" borderId="1" xfId="0" applyFont="1" applyFill="1" applyBorder="1" applyAlignment="1">
      <alignment horizontal="left" vertical="center" wrapText="1" indent="1"/>
    </xf>
    <xf numFmtId="1" fontId="9" fillId="4" borderId="1" xfId="0" applyNumberFormat="1" applyFont="1" applyFill="1" applyBorder="1" applyAlignment="1">
      <alignment horizontal="center" vertical="center"/>
    </xf>
    <xf numFmtId="1" fontId="10" fillId="4" borderId="1" xfId="0" applyNumberFormat="1" applyFont="1" applyFill="1" applyBorder="1" applyAlignment="1">
      <alignment horizontal="center" vertical="center"/>
    </xf>
    <xf numFmtId="0" fontId="11" fillId="4" borderId="1" xfId="0" applyFont="1" applyFill="1" applyBorder="1" applyAlignment="1">
      <alignment horizontal="left" vertical="center" wrapText="1" indent="1"/>
    </xf>
    <xf numFmtId="0" fontId="12" fillId="2" borderId="0" xfId="0" applyFont="1" applyFill="1" applyAlignment="1">
      <alignment horizontal="left" vertical="center" indent="1"/>
    </xf>
    <xf numFmtId="1" fontId="13" fillId="7" borderId="0" xfId="0" applyNumberFormat="1" applyFont="1" applyFill="1" applyAlignment="1">
      <alignment horizontal="center" vertical="center"/>
    </xf>
    <xf numFmtId="1" fontId="14" fillId="7" borderId="0" xfId="0" applyNumberFormat="1" applyFont="1" applyFill="1" applyAlignment="1">
      <alignment horizontal="center" vertical="center"/>
    </xf>
    <xf numFmtId="0" fontId="11" fillId="0" borderId="0" xfId="0" applyFont="1" applyAlignment="1">
      <alignment horizontal="left" vertical="center" indent="1"/>
    </xf>
    <xf numFmtId="166" fontId="15" fillId="7" borderId="0" xfId="0" applyNumberFormat="1" applyFont="1" applyFill="1" applyAlignment="1">
      <alignment horizontal="center" vertical="center"/>
    </xf>
    <xf numFmtId="0" fontId="16" fillId="7" borderId="0" xfId="0" applyFont="1" applyFill="1" applyAlignment="1">
      <alignment horizontal="center" vertical="center"/>
    </xf>
    <xf numFmtId="0" fontId="3" fillId="0" borderId="0" xfId="0" applyFont="1" applyAlignment="1">
      <alignment horizontal="right" vertical="center"/>
    </xf>
    <xf numFmtId="0" fontId="0" fillId="0" borderId="4" xfId="0" applyBorder="1"/>
    <xf numFmtId="0" fontId="17" fillId="0" borderId="0" xfId="0" applyFont="1" applyAlignment="1">
      <alignment horizontal="center" vertical="center"/>
    </xf>
    <xf numFmtId="0" fontId="18" fillId="2" borderId="0" xfId="0" applyFont="1" applyFill="1" applyAlignment="1">
      <alignment horizontal="left" vertical="center" indent="1"/>
    </xf>
    <xf numFmtId="0" fontId="4" fillId="0" borderId="1" xfId="0" applyFont="1" applyBorder="1" applyAlignment="1">
      <alignment horizontal="left" vertical="center" indent="1"/>
    </xf>
    <xf numFmtId="164" fontId="4" fillId="0" borderId="1" xfId="0" applyNumberFormat="1" applyFont="1" applyBorder="1" applyAlignment="1">
      <alignment horizontal="left" vertical="center" indent="1"/>
    </xf>
    <xf numFmtId="165" fontId="4" fillId="0" borderId="1" xfId="0" applyNumberFormat="1" applyFont="1" applyBorder="1" applyAlignment="1">
      <alignment horizontal="left" vertical="center" indent="1"/>
    </xf>
    <xf numFmtId="0" fontId="12" fillId="6" borderId="0" xfId="0" applyFont="1" applyFill="1" applyAlignment="1">
      <alignment horizontal="left" vertical="center" indent="1"/>
    </xf>
    <xf numFmtId="0" fontId="5" fillId="2" borderId="0" xfId="0" applyFont="1" applyFill="1" applyAlignment="1">
      <alignment horizontal="center" vertical="center"/>
    </xf>
    <xf numFmtId="0" fontId="8" fillId="0" borderId="0" xfId="0" applyFont="1" applyAlignment="1">
      <alignment horizontal="left" vertical="center" indent="1"/>
    </xf>
    <xf numFmtId="0" fontId="11" fillId="0" borderId="0" xfId="0" applyFont="1" applyAlignment="1">
      <alignment horizontal="left" vertical="center" wrapText="1" indent="1"/>
    </xf>
    <xf numFmtId="1" fontId="9" fillId="0" borderId="0" xfId="0" applyNumberFormat="1" applyFont="1" applyAlignment="1">
      <alignment horizontal="center" vertical="center"/>
    </xf>
    <xf numFmtId="1" fontId="10" fillId="0" borderId="0" xfId="0" applyNumberFormat="1" applyFont="1" applyAlignment="1">
      <alignment horizontal="center" vertical="center"/>
    </xf>
    <xf numFmtId="166" fontId="8" fillId="0" borderId="0" xfId="0" applyNumberFormat="1" applyFont="1" applyAlignment="1">
      <alignment horizontal="center" vertical="center"/>
    </xf>
    <xf numFmtId="0" fontId="19" fillId="0" borderId="0" xfId="0" applyFont="1" applyAlignment="1">
      <alignment horizontal="center" vertical="center"/>
    </xf>
    <xf numFmtId="0" fontId="3" fillId="0" borderId="0" xfId="0" applyFont="1" applyAlignment="1">
      <alignment horizontal="right" vertical="center" indent="1"/>
    </xf>
    <xf numFmtId="1" fontId="13" fillId="0" borderId="0" xfId="0" applyNumberFormat="1" applyFont="1" applyAlignment="1">
      <alignment horizontal="center" vertical="center"/>
    </xf>
    <xf numFmtId="1" fontId="14" fillId="0" borderId="0" xfId="0" applyNumberFormat="1" applyFont="1" applyAlignment="1">
      <alignment horizontal="center" vertical="center"/>
    </xf>
    <xf numFmtId="166" fontId="16" fillId="0" borderId="0" xfId="0" applyNumberFormat="1" applyFont="1" applyAlignment="1">
      <alignment horizontal="center" vertical="center"/>
    </xf>
    <xf numFmtId="0" fontId="20" fillId="7" borderId="0" xfId="0" applyFont="1" applyFill="1" applyAlignment="1">
      <alignment horizontal="center" vertical="center"/>
    </xf>
    <xf numFmtId="0" fontId="21" fillId="2" borderId="0" xfId="0" applyFont="1" applyFill="1" applyAlignment="1">
      <alignment horizontal="left" vertical="center" indent="1"/>
    </xf>
    <xf numFmtId="0" fontId="22" fillId="6" borderId="0" xfId="0" applyFont="1" applyFill="1" applyAlignment="1">
      <alignment horizontal="left" vertical="center" indent="1"/>
    </xf>
    <xf numFmtId="0" fontId="13" fillId="9" borderId="0" xfId="0" applyFont="1" applyFill="1" applyAlignment="1">
      <alignment horizontal="center" vertical="center"/>
    </xf>
    <xf numFmtId="0" fontId="9" fillId="9" borderId="0" xfId="0" applyFont="1" applyFill="1" applyAlignment="1">
      <alignment horizontal="left" vertical="center" indent="1"/>
    </xf>
    <xf numFmtId="0" fontId="23" fillId="0" borderId="0" xfId="0" applyFont="1" applyAlignment="1">
      <alignment horizontal="left" vertical="center" wrapText="1" indent="1"/>
    </xf>
    <xf numFmtId="0" fontId="24" fillId="10" borderId="0" xfId="0" applyFont="1" applyFill="1" applyAlignment="1">
      <alignment horizontal="center" vertical="center"/>
    </xf>
    <xf numFmtId="0" fontId="25" fillId="10" borderId="0" xfId="0" applyFont="1" applyFill="1" applyAlignment="1">
      <alignment horizontal="left" vertical="center" indent="1"/>
    </xf>
    <xf numFmtId="0" fontId="26" fillId="11" borderId="0" xfId="0" applyFont="1" applyFill="1" applyAlignment="1">
      <alignment horizontal="center" vertical="center"/>
    </xf>
    <xf numFmtId="0" fontId="27" fillId="11" borderId="0" xfId="0" applyFont="1" applyFill="1" applyAlignment="1">
      <alignment horizontal="left" vertical="center" indent="1"/>
    </xf>
    <xf numFmtId="0" fontId="14" fillId="7" borderId="0" xfId="0" applyFont="1" applyFill="1" applyAlignment="1">
      <alignment horizontal="center" vertical="center"/>
    </xf>
    <xf numFmtId="0" fontId="7" fillId="7" borderId="0" xfId="0" applyFont="1" applyFill="1" applyAlignment="1">
      <alignment horizontal="left" vertical="center" indent="1"/>
    </xf>
    <xf numFmtId="0" fontId="5" fillId="3" borderId="0" xfId="0" applyFont="1" applyFill="1" applyAlignment="1">
      <alignment horizontal="left" vertical="center" indent="1"/>
    </xf>
    <xf numFmtId="0" fontId="6" fillId="5" borderId="0" xfId="0" applyFont="1" applyFill="1" applyAlignment="1">
      <alignment horizontal="center" vertical="center"/>
    </xf>
    <xf numFmtId="0" fontId="28" fillId="5" borderId="0" xfId="0" applyFont="1" applyFill="1" applyAlignment="1">
      <alignment horizontal="left" vertical="center" wrapText="1" indent="1"/>
    </xf>
    <xf numFmtId="0" fontId="3" fillId="5" borderId="0" xfId="0" applyFont="1" applyFill="1" applyAlignment="1">
      <alignment horizontal="center" vertical="center"/>
    </xf>
    <xf numFmtId="0" fontId="11" fillId="5" borderId="0" xfId="0" applyFont="1" applyFill="1" applyAlignment="1">
      <alignment horizontal="left" vertical="center" wrapText="1" indent="1"/>
    </xf>
    <xf numFmtId="0" fontId="6" fillId="4" borderId="0" xfId="0" applyFont="1" applyFill="1" applyAlignment="1">
      <alignment horizontal="center" vertical="center"/>
    </xf>
    <xf numFmtId="0" fontId="28" fillId="4" borderId="0" xfId="0" applyFont="1" applyFill="1" applyAlignment="1">
      <alignment horizontal="left" vertical="center" wrapText="1" indent="1"/>
    </xf>
    <xf numFmtId="0" fontId="3" fillId="4" borderId="0" xfId="0" applyFont="1" applyFill="1" applyAlignment="1">
      <alignment horizontal="center" vertical="center"/>
    </xf>
    <xf numFmtId="0" fontId="11" fillId="4" borderId="0" xfId="0" applyFont="1" applyFill="1" applyAlignment="1">
      <alignment horizontal="left" vertical="center" wrapText="1" indent="1"/>
    </xf>
    <xf numFmtId="0" fontId="4" fillId="0" borderId="0" xfId="0" applyFont="1" applyAlignment="1">
      <alignment horizontal="left" vertical="top" wrapText="1" indent="1"/>
    </xf>
    <xf numFmtId="0" fontId="29" fillId="0" borderId="0" xfId="0" applyFont="1" applyAlignment="1">
      <alignment horizontal="center" vertical="top"/>
    </xf>
    <xf numFmtId="0" fontId="23" fillId="5" borderId="0" xfId="0" applyFont="1" applyFill="1" applyAlignment="1">
      <alignment horizontal="left" vertical="center" wrapText="1" indent="1"/>
    </xf>
    <xf numFmtId="0" fontId="28" fillId="9" borderId="0" xfId="0" applyFont="1" applyFill="1" applyAlignment="1">
      <alignment horizontal="center" vertical="center"/>
    </xf>
    <xf numFmtId="0" fontId="30" fillId="5" borderId="0" xfId="0" applyFont="1" applyFill="1" applyAlignment="1">
      <alignment horizontal="center" vertical="center"/>
    </xf>
    <xf numFmtId="0" fontId="31" fillId="5" borderId="0" xfId="0" applyFont="1" applyFill="1" applyAlignment="1">
      <alignment horizontal="center" vertical="center"/>
    </xf>
    <xf numFmtId="0" fontId="17" fillId="5" borderId="0" xfId="0" applyFont="1" applyFill="1" applyAlignment="1">
      <alignment horizontal="left" vertical="center" wrapText="1" indent="1"/>
    </xf>
    <xf numFmtId="0" fontId="23" fillId="4" borderId="0" xfId="0" applyFont="1" applyFill="1" applyAlignment="1">
      <alignment horizontal="left" vertical="center" wrapText="1" indent="1"/>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17" fillId="4" borderId="0" xfId="0" applyFont="1" applyFill="1" applyAlignment="1">
      <alignment horizontal="left" vertical="center" wrapText="1" indent="1"/>
    </xf>
    <xf numFmtId="0" fontId="28" fillId="11" borderId="0" xfId="0" applyFont="1" applyFill="1" applyAlignment="1">
      <alignment horizontal="center" vertical="center"/>
    </xf>
    <xf numFmtId="0" fontId="28" fillId="10" borderId="0" xfId="0" applyFont="1" applyFill="1" applyAlignment="1">
      <alignment horizontal="center" vertical="center"/>
    </xf>
    <xf numFmtId="0" fontId="28" fillId="7" borderId="0" xfId="0" applyFont="1" applyFill="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32" fillId="9" borderId="0" xfId="0" applyFont="1" applyFill="1" applyAlignment="1">
      <alignment horizontal="center" vertical="center"/>
    </xf>
    <xf numFmtId="0" fontId="33" fillId="0" borderId="0" xfId="0" applyFont="1" applyAlignment="1">
      <alignment horizontal="left" vertical="top" wrapText="1" indent="1"/>
    </xf>
  </cellXfs>
  <cellStyles count="1">
    <cellStyle name="Normal" xfId="0" builtinId="0"/>
  </cellStyles>
  <dxfs count="27">
    <dxf>
      <font>
        <b/>
        <color rgb="FF047857"/>
        <sz val="14"/>
      </font>
      <fill>
        <patternFill patternType="solid">
          <bgColor rgb="FFD1FAE5"/>
        </patternFill>
      </fill>
    </dxf>
    <dxf>
      <font>
        <b/>
        <color rgb="FF92400E"/>
        <sz val="14"/>
      </font>
      <fill>
        <patternFill patternType="solid">
          <bgColor rgb="FFFEF3C7"/>
        </patternFill>
      </fill>
    </dxf>
    <dxf>
      <font>
        <b/>
        <color rgb="FF991B1B"/>
        <sz val="14"/>
      </font>
      <fill>
        <patternFill patternType="solid">
          <bgColor rgb="FFFEE2E2"/>
        </patternFill>
      </fill>
    </dxf>
    <dxf>
      <font>
        <b/>
        <color rgb="FF047857"/>
        <sz val="16"/>
      </font>
    </dxf>
    <dxf>
      <font>
        <b/>
        <color rgb="FF92400E"/>
        <sz val="16"/>
      </font>
    </dxf>
    <dxf>
      <font>
        <b/>
        <color rgb="FF991B1B"/>
        <sz val="16"/>
      </font>
    </dxf>
    <dxf>
      <fill>
        <patternFill patternType="solid">
          <bgColor rgb="FFD1FAE5"/>
        </patternFill>
      </fill>
    </dxf>
    <dxf>
      <fill>
        <patternFill patternType="solid">
          <bgColor rgb="FFFEF3C7"/>
        </patternFill>
      </fill>
    </dxf>
    <dxf>
      <fill>
        <patternFill patternType="solid">
          <bgColor rgb="FFFEE2E2"/>
        </patternFill>
      </fill>
    </dxf>
    <dxf>
      <font>
        <b/>
        <color rgb="FF047857"/>
      </font>
      <fill>
        <patternFill patternType="solid">
          <bgColor rgb="FFD1FAE5"/>
        </patternFill>
      </fill>
    </dxf>
    <dxf>
      <font>
        <b/>
        <color rgb="FF92400E"/>
      </font>
      <fill>
        <patternFill patternType="solid">
          <bgColor rgb="FFFEF3C7"/>
        </patternFill>
      </fill>
    </dxf>
    <dxf>
      <font>
        <b/>
        <color rgb="FF991B1B"/>
      </font>
      <fill>
        <patternFill patternType="solid">
          <bgColor rgb="FFFEE2E2"/>
        </patternFill>
      </fill>
    </dxf>
    <dxf>
      <font>
        <b/>
        <color rgb="FF047857"/>
      </font>
      <fill>
        <patternFill patternType="solid">
          <bgColor rgb="FFD1FAE5"/>
        </patternFill>
      </fill>
    </dxf>
    <dxf>
      <font>
        <b/>
        <color rgb="FF92400E"/>
      </font>
      <fill>
        <patternFill patternType="solid">
          <bgColor rgb="FFFEF3C7"/>
        </patternFill>
      </fill>
    </dxf>
    <dxf>
      <font>
        <b/>
        <color rgb="FF991B1B"/>
      </font>
      <fill>
        <patternFill patternType="solid">
          <bgColor rgb="FFFEE2E2"/>
        </patternFill>
      </fill>
    </dxf>
    <dxf>
      <font>
        <b/>
        <color rgb="FF047857"/>
      </font>
      <fill>
        <patternFill patternType="solid">
          <bgColor rgb="FFD1FAE5"/>
        </patternFill>
      </fill>
    </dxf>
    <dxf>
      <font>
        <b/>
        <color rgb="FF92400E"/>
      </font>
      <fill>
        <patternFill patternType="solid">
          <bgColor rgb="FFFEF3C7"/>
        </patternFill>
      </fill>
    </dxf>
    <dxf>
      <font>
        <b/>
        <color rgb="FF991B1B"/>
      </font>
      <fill>
        <patternFill patternType="solid">
          <bgColor rgb="FFFEE2E2"/>
        </patternFill>
      </fill>
    </dxf>
    <dxf>
      <font>
        <b/>
        <color rgb="FF047857"/>
      </font>
      <fill>
        <patternFill patternType="solid">
          <bgColor rgb="FFD1FAE5"/>
        </patternFill>
      </fill>
    </dxf>
    <dxf>
      <font>
        <b/>
        <color rgb="FF92400E"/>
      </font>
      <fill>
        <patternFill patternType="solid">
          <bgColor rgb="FFFEF3C7"/>
        </patternFill>
      </fill>
    </dxf>
    <dxf>
      <font>
        <b/>
        <color rgb="FF991B1B"/>
      </font>
      <fill>
        <patternFill patternType="solid">
          <bgColor rgb="FFFEE2E2"/>
        </patternFill>
      </fill>
    </dxf>
    <dxf>
      <font>
        <b/>
        <color rgb="FF047857"/>
      </font>
      <fill>
        <patternFill patternType="solid">
          <bgColor rgb="FFD1FAE5"/>
        </patternFill>
      </fill>
    </dxf>
    <dxf>
      <font>
        <b/>
        <color rgb="FF92400E"/>
      </font>
      <fill>
        <patternFill patternType="solid">
          <bgColor rgb="FFFEF3C7"/>
        </patternFill>
      </fill>
    </dxf>
    <dxf>
      <font>
        <b/>
        <color rgb="FF991B1B"/>
      </font>
      <fill>
        <patternFill patternType="solid">
          <bgColor rgb="FFFEE2E2"/>
        </patternFill>
      </fill>
    </dxf>
    <dxf>
      <font>
        <b/>
        <color rgb="FF047857"/>
        <sz val="18"/>
      </font>
      <fill>
        <patternFill patternType="solid">
          <bgColor rgb="FFD1FAE5"/>
        </patternFill>
      </fill>
    </dxf>
    <dxf>
      <font>
        <b/>
        <color rgb="FF92400E"/>
        <sz val="18"/>
      </font>
      <fill>
        <patternFill patternType="solid">
          <bgColor rgb="FFFEF3C7"/>
        </patternFill>
      </fill>
    </dxf>
    <dxf>
      <font>
        <b/>
        <color rgb="FF991B1B"/>
        <sz val="18"/>
      </font>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workbookViewId="0" showGridLines="0">
      <pane ySplit="15" topLeftCell="A16" activePane="bottomLeft" state="frozen"/>
      <selection pane="bottomLeft"/>
    </sheetView>
  </sheetViews>
  <sheetFormatPr defaultRowHeight="15" outlineLevelRow="0" outlineLevelCol="0" x14ac:dyDescent="55"/>
  <cols>
    <col min="1" max="1" width="5" customWidth="1"/>
    <col min="2" max="2" width="42" customWidth="1"/>
    <col min="3" max="4" width="10" customWidth="1"/>
    <col min="5" max="6" width="13" customWidth="1"/>
    <col min="7" max="7" width="38" customWidth="1"/>
  </cols>
  <sheetData>
    <row r="1" ht="44" customHeight="1" spans="1:7" x14ac:dyDescent="0.25">
      <c r="A1" s="1" t="s">
        <v>0</v>
      </c>
      <c r="B1" s="1"/>
      <c r="C1" s="1"/>
      <c r="D1" s="1"/>
      <c r="E1" s="1"/>
      <c r="F1" s="1"/>
      <c r="G1" s="1"/>
    </row>
    <row r="2" ht="22" customHeight="1" spans="1:7" x14ac:dyDescent="0.25">
      <c r="A2" s="2" t="s">
        <v>1</v>
      </c>
      <c r="B2" s="2"/>
      <c r="C2" s="2"/>
      <c r="D2" s="2"/>
      <c r="E2" s="2"/>
      <c r="F2" s="2"/>
      <c r="G2" s="2"/>
    </row>
    <row r="3" ht="8" customHeight="1" x14ac:dyDescent="0.25"/>
    <row r="4" ht="22" customHeight="1" spans="2:7" x14ac:dyDescent="0.25">
      <c r="B4" s="3" t="s">
        <v>2</v>
      </c>
      <c r="C4" s="4"/>
      <c r="D4" s="4"/>
      <c r="E4" s="3" t="s">
        <v>3</v>
      </c>
      <c r="F4" s="4"/>
      <c r="G4" s="4"/>
    </row>
    <row r="5" ht="22" customHeight="1" spans="2:7" x14ac:dyDescent="0.25">
      <c r="B5" s="3" t="s">
        <v>4</v>
      </c>
      <c r="C5" s="4"/>
      <c r="D5" s="4"/>
      <c r="E5" s="3" t="s">
        <v>5</v>
      </c>
      <c r="F5" s="4"/>
      <c r="G5" s="4"/>
    </row>
    <row r="6" ht="22" customHeight="1" spans="2:7" x14ac:dyDescent="0.25">
      <c r="B6" s="3" t="s">
        <v>6</v>
      </c>
      <c r="C6" s="5"/>
      <c r="D6" s="5"/>
      <c r="E6" s="3" t="s">
        <v>7</v>
      </c>
      <c r="F6" s="4"/>
      <c r="G6" s="4"/>
    </row>
    <row r="7" ht="22" customHeight="1" spans="2:7" x14ac:dyDescent="0.25">
      <c r="B7" s="3" t="s">
        <v>8</v>
      </c>
      <c r="C7" s="4"/>
      <c r="D7" s="4"/>
      <c r="E7" s="3" t="s">
        <v>9</v>
      </c>
      <c r="F7" s="4"/>
      <c r="G7" s="4"/>
    </row>
    <row r="8" ht="22" customHeight="1" spans="2:7" x14ac:dyDescent="0.25">
      <c r="B8" s="3" t="s">
        <v>10</v>
      </c>
      <c r="C8" s="6"/>
      <c r="D8" s="6"/>
      <c r="E8" s="3" t="s">
        <v>11</v>
      </c>
      <c r="F8" s="4"/>
      <c r="G8" s="4"/>
    </row>
    <row r="9" ht="22" customHeight="1" spans="2:7" x14ac:dyDescent="0.25">
      <c r="B9" s="3" t="s">
        <v>12</v>
      </c>
      <c r="C9" s="4"/>
      <c r="D9" s="4"/>
      <c r="E9" s="3" t="s">
        <v>13</v>
      </c>
      <c r="F9" s="4"/>
      <c r="G9" s="4"/>
    </row>
    <row r="10" ht="22" customHeight="1" spans="2:7" x14ac:dyDescent="0.25">
      <c r="B10" s="3" t="s">
        <v>14</v>
      </c>
      <c r="C10" s="6"/>
      <c r="D10" s="6"/>
      <c r="E10" s="3" t="s">
        <v>15</v>
      </c>
      <c r="F10" s="4"/>
      <c r="G10" s="4"/>
    </row>
    <row r="11" ht="8" customHeight="1" x14ac:dyDescent="0.25"/>
    <row r="12" ht="8" customHeight="1" x14ac:dyDescent="0.25"/>
    <row r="14" ht="36" customHeight="1" spans="1:7" x14ac:dyDescent="0.25">
      <c r="A14" s="7" t="s">
        <v>16</v>
      </c>
      <c r="B14" s="7" t="s">
        <v>17</v>
      </c>
      <c r="C14" s="7" t="s">
        <v>18</v>
      </c>
      <c r="D14" s="7" t="s">
        <v>19</v>
      </c>
      <c r="E14" s="7" t="s">
        <v>20</v>
      </c>
      <c r="F14" s="7" t="s">
        <v>21</v>
      </c>
      <c r="G14" s="7" t="s">
        <v>22</v>
      </c>
    </row>
    <row r="15" ht="22" customHeight="1" spans="1:7" x14ac:dyDescent="0.25">
      <c r="A15" s="8" t="s">
        <v>23</v>
      </c>
      <c r="B15" s="8"/>
      <c r="C15" s="8"/>
      <c r="D15" s="8"/>
      <c r="E15" s="8"/>
      <c r="F15" s="8"/>
      <c r="G15" s="8"/>
    </row>
    <row r="16" ht="22" customHeight="1" spans="1:7" x14ac:dyDescent="0.25">
      <c r="A16" s="9">
        <v>1</v>
      </c>
      <c r="B16" s="10" t="s">
        <v>24</v>
      </c>
      <c r="C16" s="11">
        <v>5</v>
      </c>
      <c r="D16" s="12"/>
      <c r="E16" s="13">
        <f>IF(D16="",0,C16*D16)</f>
      </c>
      <c r="F16" s="14">
        <f>IF(D16="",0,C16*5)</f>
      </c>
      <c r="G16" s="15"/>
    </row>
    <row r="17" ht="22" customHeight="1" spans="1:7" x14ac:dyDescent="0.25">
      <c r="A17" s="16">
        <v>2</v>
      </c>
      <c r="B17" s="17" t="s">
        <v>25</v>
      </c>
      <c r="C17" s="11">
        <v>4</v>
      </c>
      <c r="D17" s="12"/>
      <c r="E17" s="18">
        <f>IF(D17="",0,C17*D17)</f>
      </c>
      <c r="F17" s="19">
        <f>IF(D17="",0,C17*5)</f>
      </c>
      <c r="G17" s="20"/>
    </row>
    <row r="18" ht="22" customHeight="1" spans="1:7" x14ac:dyDescent="0.25">
      <c r="A18" s="9">
        <v>3</v>
      </c>
      <c r="B18" s="10" t="s">
        <v>26</v>
      </c>
      <c r="C18" s="11">
        <v>4</v>
      </c>
      <c r="D18" s="12"/>
      <c r="E18" s="13">
        <f>IF(D18="",0,C18*D18)</f>
      </c>
      <c r="F18" s="14">
        <f>IF(D18="",0,C18*5)</f>
      </c>
      <c r="G18" s="15"/>
    </row>
    <row r="19" ht="22" customHeight="1" spans="1:7" x14ac:dyDescent="0.25">
      <c r="A19" s="16">
        <v>4</v>
      </c>
      <c r="B19" s="17" t="s">
        <v>27</v>
      </c>
      <c r="C19" s="11">
        <v>3</v>
      </c>
      <c r="D19" s="12"/>
      <c r="E19" s="18">
        <f>IF(D19="",0,C19*D19)</f>
      </c>
      <c r="F19" s="19">
        <f>IF(D19="",0,C19*5)</f>
      </c>
      <c r="G19" s="20"/>
    </row>
    <row r="20" ht="22" customHeight="1" spans="1:7" x14ac:dyDescent="0.25">
      <c r="A20" s="9">
        <v>5</v>
      </c>
      <c r="B20" s="10" t="s">
        <v>28</v>
      </c>
      <c r="C20" s="11">
        <v>4</v>
      </c>
      <c r="D20" s="12"/>
      <c r="E20" s="13">
        <f>IF(D20="",0,C20*D20)</f>
      </c>
      <c r="F20" s="14">
        <f>IF(D20="",0,C20*5)</f>
      </c>
      <c r="G20" s="15"/>
    </row>
    <row r="21" ht="22" customHeight="1" spans="1:7" x14ac:dyDescent="0.25">
      <c r="A21" s="8" t="s">
        <v>29</v>
      </c>
      <c r="B21" s="8"/>
      <c r="C21" s="8"/>
      <c r="D21" s="8"/>
      <c r="E21" s="8"/>
      <c r="F21" s="8"/>
      <c r="G21" s="8"/>
    </row>
    <row r="22" ht="22" customHeight="1" spans="1:7" x14ac:dyDescent="0.25">
      <c r="A22" s="9">
        <v>6</v>
      </c>
      <c r="B22" s="10" t="s">
        <v>30</v>
      </c>
      <c r="C22" s="11">
        <v>5</v>
      </c>
      <c r="D22" s="12"/>
      <c r="E22" s="13">
        <f>IF(D22="",0,C22*D22)</f>
      </c>
      <c r="F22" s="14">
        <f>IF(D22="",0,C22*5)</f>
      </c>
      <c r="G22" s="15"/>
    </row>
    <row r="23" ht="22" customHeight="1" spans="1:7" x14ac:dyDescent="0.25">
      <c r="A23" s="16">
        <v>7</v>
      </c>
      <c r="B23" s="17" t="s">
        <v>31</v>
      </c>
      <c r="C23" s="11">
        <v>4</v>
      </c>
      <c r="D23" s="12"/>
      <c r="E23" s="18">
        <f>IF(D23="",0,C23*D23)</f>
      </c>
      <c r="F23" s="19">
        <f>IF(D23="",0,C23*5)</f>
      </c>
      <c r="G23" s="20"/>
    </row>
    <row r="24" ht="22" customHeight="1" spans="1:7" x14ac:dyDescent="0.25">
      <c r="A24" s="9">
        <v>8</v>
      </c>
      <c r="B24" s="10" t="s">
        <v>32</v>
      </c>
      <c r="C24" s="11">
        <v>4</v>
      </c>
      <c r="D24" s="12"/>
      <c r="E24" s="13">
        <f>IF(D24="",0,C24*D24)</f>
      </c>
      <c r="F24" s="14">
        <f>IF(D24="",0,C24*5)</f>
      </c>
      <c r="G24" s="15"/>
    </row>
    <row r="25" ht="22" customHeight="1" spans="1:7" x14ac:dyDescent="0.25">
      <c r="A25" s="16">
        <v>9</v>
      </c>
      <c r="B25" s="17" t="s">
        <v>33</v>
      </c>
      <c r="C25" s="11">
        <v>5</v>
      </c>
      <c r="D25" s="12"/>
      <c r="E25" s="18">
        <f>IF(D25="",0,C25*D25)</f>
      </c>
      <c r="F25" s="19">
        <f>IF(D25="",0,C25*5)</f>
      </c>
      <c r="G25" s="20"/>
    </row>
    <row r="26" ht="22" customHeight="1" spans="1:7" x14ac:dyDescent="0.25">
      <c r="A26" s="9">
        <v>10</v>
      </c>
      <c r="B26" s="10" t="s">
        <v>34</v>
      </c>
      <c r="C26" s="11">
        <v>3</v>
      </c>
      <c r="D26" s="12"/>
      <c r="E26" s="13">
        <f>IF(D26="",0,C26*D26)</f>
      </c>
      <c r="F26" s="14">
        <f>IF(D26="",0,C26*5)</f>
      </c>
      <c r="G26" s="15"/>
    </row>
    <row r="27" ht="22" customHeight="1" spans="1:7" x14ac:dyDescent="0.25">
      <c r="A27" s="8" t="s">
        <v>35</v>
      </c>
      <c r="B27" s="8"/>
      <c r="C27" s="8"/>
      <c r="D27" s="8"/>
      <c r="E27" s="8"/>
      <c r="F27" s="8"/>
      <c r="G27" s="8"/>
    </row>
    <row r="28" ht="22" customHeight="1" spans="1:7" x14ac:dyDescent="0.25">
      <c r="A28" s="9">
        <v>11</v>
      </c>
      <c r="B28" s="10" t="s">
        <v>36</v>
      </c>
      <c r="C28" s="11">
        <v>5</v>
      </c>
      <c r="D28" s="12"/>
      <c r="E28" s="13">
        <f>IF(D28="",0,C28*D28)</f>
      </c>
      <c r="F28" s="14">
        <f>IF(D28="",0,C28*5)</f>
      </c>
      <c r="G28" s="15"/>
    </row>
    <row r="29" ht="22" customHeight="1" spans="1:7" x14ac:dyDescent="0.25">
      <c r="A29" s="16">
        <v>12</v>
      </c>
      <c r="B29" s="17" t="s">
        <v>37</v>
      </c>
      <c r="C29" s="11">
        <v>4</v>
      </c>
      <c r="D29" s="12"/>
      <c r="E29" s="18">
        <f>IF(D29="",0,C29*D29)</f>
      </c>
      <c r="F29" s="19">
        <f>IF(D29="",0,C29*5)</f>
      </c>
      <c r="G29" s="20"/>
    </row>
    <row r="30" ht="22" customHeight="1" spans="1:7" x14ac:dyDescent="0.25">
      <c r="A30" s="9">
        <v>13</v>
      </c>
      <c r="B30" s="10" t="s">
        <v>38</v>
      </c>
      <c r="C30" s="11">
        <v>4</v>
      </c>
      <c r="D30" s="12"/>
      <c r="E30" s="13">
        <f>IF(D30="",0,C30*D30)</f>
      </c>
      <c r="F30" s="14">
        <f>IF(D30="",0,C30*5)</f>
      </c>
      <c r="G30" s="15"/>
    </row>
    <row r="31" ht="22" customHeight="1" spans="1:7" x14ac:dyDescent="0.25">
      <c r="A31" s="16">
        <v>14</v>
      </c>
      <c r="B31" s="17" t="s">
        <v>39</v>
      </c>
      <c r="C31" s="11">
        <v>3</v>
      </c>
      <c r="D31" s="12"/>
      <c r="E31" s="18">
        <f>IF(D31="",0,C31*D31)</f>
      </c>
      <c r="F31" s="19">
        <f>IF(D31="",0,C31*5)</f>
      </c>
      <c r="G31" s="20"/>
    </row>
    <row r="32" ht="22" customHeight="1" spans="1:7" x14ac:dyDescent="0.25">
      <c r="A32" s="9">
        <v>15</v>
      </c>
      <c r="B32" s="10" t="s">
        <v>40</v>
      </c>
      <c r="C32" s="11">
        <v>4</v>
      </c>
      <c r="D32" s="12"/>
      <c r="E32" s="13">
        <f>IF(D32="",0,C32*D32)</f>
      </c>
      <c r="F32" s="14">
        <f>IF(D32="",0,C32*5)</f>
      </c>
      <c r="G32" s="15"/>
    </row>
    <row r="33" ht="22" customHeight="1" spans="1:7" x14ac:dyDescent="0.25">
      <c r="A33" s="8" t="s">
        <v>41</v>
      </c>
      <c r="B33" s="8"/>
      <c r="C33" s="8"/>
      <c r="D33" s="8"/>
      <c r="E33" s="8"/>
      <c r="F33" s="8"/>
      <c r="G33" s="8"/>
    </row>
    <row r="34" ht="22" customHeight="1" spans="1:7" x14ac:dyDescent="0.25">
      <c r="A34" s="9">
        <v>16</v>
      </c>
      <c r="B34" s="10" t="s">
        <v>42</v>
      </c>
      <c r="C34" s="11">
        <v>4</v>
      </c>
      <c r="D34" s="12"/>
      <c r="E34" s="13">
        <f>IF(D34="",0,C34*D34)</f>
      </c>
      <c r="F34" s="14">
        <f>IF(D34="",0,C34*5)</f>
      </c>
      <c r="G34" s="15"/>
    </row>
    <row r="35" ht="22" customHeight="1" spans="1:7" x14ac:dyDescent="0.25">
      <c r="A35" s="16">
        <v>17</v>
      </c>
      <c r="B35" s="17" t="s">
        <v>43</v>
      </c>
      <c r="C35" s="11">
        <v>5</v>
      </c>
      <c r="D35" s="12"/>
      <c r="E35" s="18">
        <f>IF(D35="",0,C35*D35)</f>
      </c>
      <c r="F35" s="19">
        <f>IF(D35="",0,C35*5)</f>
      </c>
      <c r="G35" s="20"/>
    </row>
    <row r="36" ht="22" customHeight="1" spans="1:7" x14ac:dyDescent="0.25">
      <c r="A36" s="9">
        <v>18</v>
      </c>
      <c r="B36" s="10" t="s">
        <v>44</v>
      </c>
      <c r="C36" s="11">
        <v>5</v>
      </c>
      <c r="D36" s="12"/>
      <c r="E36" s="13">
        <f>IF(D36="",0,C36*D36)</f>
      </c>
      <c r="F36" s="14">
        <f>IF(D36="",0,C36*5)</f>
      </c>
      <c r="G36" s="15"/>
    </row>
    <row r="37" ht="22" customHeight="1" spans="1:7" x14ac:dyDescent="0.25">
      <c r="A37" s="16">
        <v>19</v>
      </c>
      <c r="B37" s="17" t="s">
        <v>45</v>
      </c>
      <c r="C37" s="11">
        <v>4</v>
      </c>
      <c r="D37" s="12"/>
      <c r="E37" s="18">
        <f>IF(D37="",0,C37*D37)</f>
      </c>
      <c r="F37" s="19">
        <f>IF(D37="",0,C37*5)</f>
      </c>
      <c r="G37" s="20"/>
    </row>
    <row r="38" ht="22" customHeight="1" spans="1:7" x14ac:dyDescent="0.25">
      <c r="A38" s="9">
        <v>20</v>
      </c>
      <c r="B38" s="10" t="s">
        <v>46</v>
      </c>
      <c r="C38" s="11">
        <v>3</v>
      </c>
      <c r="D38" s="12"/>
      <c r="E38" s="13">
        <f>IF(D38="",0,C38*D38)</f>
      </c>
      <c r="F38" s="14">
        <f>IF(D38="",0,C38*5)</f>
      </c>
      <c r="G38" s="15"/>
    </row>
    <row r="39" ht="22" customHeight="1" spans="1:7" x14ac:dyDescent="0.25">
      <c r="A39" s="8" t="s">
        <v>47</v>
      </c>
      <c r="B39" s="8"/>
      <c r="C39" s="8"/>
      <c r="D39" s="8"/>
      <c r="E39" s="8"/>
      <c r="F39" s="8"/>
      <c r="G39" s="8"/>
    </row>
    <row r="40" ht="22" customHeight="1" spans="1:7" x14ac:dyDescent="0.25">
      <c r="A40" s="9">
        <v>21</v>
      </c>
      <c r="B40" s="10" t="s">
        <v>48</v>
      </c>
      <c r="C40" s="11">
        <v>4</v>
      </c>
      <c r="D40" s="12"/>
      <c r="E40" s="13">
        <f>IF(D40="",0,C40*D40)</f>
      </c>
      <c r="F40" s="14">
        <f>IF(D40="",0,C40*5)</f>
      </c>
      <c r="G40" s="15"/>
    </row>
    <row r="41" ht="22" customHeight="1" spans="1:7" x14ac:dyDescent="0.25">
      <c r="A41" s="16">
        <v>22</v>
      </c>
      <c r="B41" s="17" t="s">
        <v>49</v>
      </c>
      <c r="C41" s="11">
        <v>4</v>
      </c>
      <c r="D41" s="12"/>
      <c r="E41" s="18">
        <f>IF(D41="",0,C41*D41)</f>
      </c>
      <c r="F41" s="19">
        <f>IF(D41="",0,C41*5)</f>
      </c>
      <c r="G41" s="20"/>
    </row>
    <row r="42" ht="22" customHeight="1" spans="1:7" x14ac:dyDescent="0.25">
      <c r="A42" s="9">
        <v>23</v>
      </c>
      <c r="B42" s="10" t="s">
        <v>50</v>
      </c>
      <c r="C42" s="11">
        <v>5</v>
      </c>
      <c r="D42" s="12"/>
      <c r="E42" s="13">
        <f>IF(D42="",0,C42*D42)</f>
      </c>
      <c r="F42" s="14">
        <f>IF(D42="",0,C42*5)</f>
      </c>
      <c r="G42" s="15"/>
    </row>
    <row r="43" ht="22" customHeight="1" spans="1:7" x14ac:dyDescent="0.25">
      <c r="A43" s="16">
        <v>24</v>
      </c>
      <c r="B43" s="17" t="s">
        <v>51</v>
      </c>
      <c r="C43" s="11">
        <v>3</v>
      </c>
      <c r="D43" s="12"/>
      <c r="E43" s="18">
        <f>IF(D43="",0,C43*D43)</f>
      </c>
      <c r="F43" s="19">
        <f>IF(D43="",0,C43*5)</f>
      </c>
      <c r="G43" s="20"/>
    </row>
    <row r="44" ht="22" customHeight="1" spans="1:7" x14ac:dyDescent="0.25">
      <c r="A44" s="9">
        <v>25</v>
      </c>
      <c r="B44" s="10" t="s">
        <v>52</v>
      </c>
      <c r="C44" s="11">
        <v>4</v>
      </c>
      <c r="D44" s="12"/>
      <c r="E44" s="13">
        <f>IF(D44="",0,C44*D44)</f>
      </c>
      <c r="F44" s="14">
        <f>IF(D44="",0,C44*5)</f>
      </c>
      <c r="G44" s="15"/>
    </row>
    <row r="46" ht="30" customHeight="1" spans="1:7" x14ac:dyDescent="0.25">
      <c r="A46" s="21" t="s">
        <v>53</v>
      </c>
      <c r="B46" s="21"/>
      <c r="C46" s="21"/>
      <c r="D46" s="21"/>
      <c r="E46" s="22">
        <f>SUM(E16:E44)</f>
      </c>
      <c r="F46" s="23">
        <f>SUM(F16:F44)</f>
      </c>
      <c r="G46" s="24" t="s">
        <v>54</v>
      </c>
    </row>
    <row r="47" ht="30" customHeight="1" spans="1:7" x14ac:dyDescent="0.25">
      <c r="A47" s="21" t="s">
        <v>55</v>
      </c>
      <c r="B47" s="21"/>
      <c r="C47" s="21"/>
      <c r="D47" s="21"/>
      <c r="E47" s="25">
        <f>IFERROR(E46/F46,0)</f>
      </c>
      <c r="F47" s="25"/>
      <c r="G47" s="24" t="s">
        <v>56</v>
      </c>
    </row>
    <row r="48" ht="36" customHeight="1" spans="1:7" x14ac:dyDescent="0.25">
      <c r="A48" s="21" t="s">
        <v>57</v>
      </c>
      <c r="B48" s="21"/>
      <c r="C48" s="21"/>
      <c r="D48" s="21"/>
      <c r="E48" s="26">
        <f>IF(E46=0,"Score the criteria to see a recommendation",IF(E47&gt;=0.6,"BID  -  Strong go signal",IF(E47&gt;=0.4,"REVIEW  -  Needs discussion","NO BID  -  Do not pursue")))</f>
      </c>
      <c r="F48" s="26"/>
      <c r="G48" s="26"/>
    </row>
    <row r="50" ht="22" customHeight="1" spans="2:7" x14ac:dyDescent="0.25">
      <c r="B50" s="27" t="s">
        <v>58</v>
      </c>
      <c r="C50" s="28"/>
      <c r="D50" s="28"/>
      <c r="E50" s="27" t="s">
        <v>59</v>
      </c>
      <c r="F50" s="28"/>
      <c r="G50" s="28"/>
    </row>
    <row r="52" spans="1:7" x14ac:dyDescent="0.25">
      <c r="A52" s="29" t="s">
        <v>60</v>
      </c>
      <c r="B52" s="29"/>
      <c r="C52" s="29"/>
      <c r="D52" s="29"/>
      <c r="E52" s="29"/>
      <c r="F52" s="29"/>
      <c r="G52" s="29"/>
    </row>
  </sheetData>
  <mergeCells count="29">
    <mergeCell ref="A1:G1"/>
    <mergeCell ref="A2:G2"/>
    <mergeCell ref="C4:D4"/>
    <mergeCell ref="F4:G4"/>
    <mergeCell ref="C5:D5"/>
    <mergeCell ref="F5:G5"/>
    <mergeCell ref="C6:D6"/>
    <mergeCell ref="F6:G6"/>
    <mergeCell ref="C7:D7"/>
    <mergeCell ref="F7:G7"/>
    <mergeCell ref="C8:D8"/>
    <mergeCell ref="F8:G8"/>
    <mergeCell ref="C9:D9"/>
    <mergeCell ref="F9:G9"/>
    <mergeCell ref="C10:D10"/>
    <mergeCell ref="F10:G10"/>
    <mergeCell ref="A15:G15"/>
    <mergeCell ref="A21:G21"/>
    <mergeCell ref="A27:G27"/>
    <mergeCell ref="A33:G33"/>
    <mergeCell ref="A39:G39"/>
    <mergeCell ref="A46:D46"/>
    <mergeCell ref="A47:D47"/>
    <mergeCell ref="E47:F47"/>
    <mergeCell ref="A48:D48"/>
    <mergeCell ref="E48:G48"/>
    <mergeCell ref="C50:D50"/>
    <mergeCell ref="F50:G50"/>
    <mergeCell ref="A52:G52"/>
  </mergeCells>
  <conditionalFormatting sqref="E48:G48">
    <cfRule type="containsText" dxfId="0" priority="1">
      <formula>NOT(ISERROR(SEARCH("BID  -  Strong",E48)))</formula>
    </cfRule>
    <cfRule type="containsText" dxfId="1" priority="2">
      <formula>NOT(ISERROR(SEARCH("REVIEW",E48)))</formula>
    </cfRule>
    <cfRule type="containsText" dxfId="2" priority="3">
      <formula>NOT(ISERROR(SEARCH("NO BID",E48)))</formula>
    </cfRule>
  </conditionalFormatting>
  <conditionalFormatting sqref="E47:F47">
    <cfRule type="cellIs" dxfId="3" priority="1" operator="greaterThanOrEqual">
      <formula>0.6</formula>
    </cfRule>
    <cfRule type="cellIs" dxfId="4" priority="2" operator="between">
      <formula>0.4</formula>
      <formula>0.5999</formula>
    </cfRule>
    <cfRule type="cellIs" dxfId="5" priority="3" operator="lessThan">
      <formula>0.4</formula>
    </cfRule>
  </conditionalFormatting>
  <conditionalFormatting sqref="D16:D44">
    <cfRule type="cellIs" dxfId="6" priority="1" operator="greaterThanOrEqual">
      <formula>4</formula>
    </cfRule>
    <cfRule type="cellIs" dxfId="7" priority="2" operator="between">
      <formula>3</formula>
      <formula>3</formula>
    </cfRule>
    <cfRule type="cellIs" dxfId="8" priority="3" operator="between">
      <formula>1</formula>
      <formula>2</formula>
    </cfRule>
  </conditionalFormatting>
  <dataValidations count="14">
    <dataValidation type="whole" showErrorMessage="1" errorTitle="Weight 1-5" error="Weight must be a whole number between 1 (low) and 5 (critical)." sqref="C16:C20">
      <formula1>1</formula1>
      <formula2>5</formula2>
    </dataValidation>
    <dataValidation type="whole" showErrorMessage="1" errorTitle="Weight 1-5" error="Weight must be a whole number between 1 (low) and 5 (critical)." sqref="C22:C26">
      <formula1>1</formula1>
      <formula2>5</formula2>
    </dataValidation>
    <dataValidation type="whole" showErrorMessage="1" errorTitle="Weight 1-5" error="Weight must be a whole number between 1 (low) and 5 (critical)." sqref="C28:C32">
      <formula1>1</formula1>
      <formula2>5</formula2>
    </dataValidation>
    <dataValidation type="whole" showErrorMessage="1" errorTitle="Weight 1-5" error="Weight must be a whole number between 1 (low) and 5 (critical)." sqref="C34:C38">
      <formula1>1</formula1>
      <formula2>5</formula2>
    </dataValidation>
    <dataValidation type="whole" showErrorMessage="1" errorTitle="Weight 1-5" error="Weight must be a whole number between 1 (low) and 5 (critical)." sqref="C40:C44">
      <formula1>1</formula1>
      <formula2>5</formula2>
    </dataValidation>
    <dataValidation type="list" allowBlank="1" showInputMessage="1" promptTitle="Score" prompt="5 strong | 4 good | 3 fair | 2 weak | 1 poor | 0 N/A" showErrorMessage="1" errorTitle="Score 0-5" error="Pick 0 (N/A) through 5 (strong). Leave blank if you have not scored yet." sqref="D16:D20">
      <formula1>"0,1,2,3,4,5"</formula1>
    </dataValidation>
    <dataValidation type="list" allowBlank="1" showInputMessage="1" promptTitle="Score" prompt="5 strong | 4 good | 3 fair | 2 weak | 1 poor | 0 N/A" showErrorMessage="1" errorTitle="Score 0-5" error="Pick 0 (N/A) through 5 (strong). Leave blank if you have not scored yet." sqref="D22:D26">
      <formula1>"0,1,2,3,4,5"</formula1>
    </dataValidation>
    <dataValidation type="list" allowBlank="1" showInputMessage="1" promptTitle="Score" prompt="5 strong | 4 good | 3 fair | 2 weak | 1 poor | 0 N/A" showErrorMessage="1" errorTitle="Score 0-5" error="Pick 0 (N/A) through 5 (strong). Leave blank if you have not scored yet." sqref="D28:D32">
      <formula1>"0,1,2,3,4,5"</formula1>
    </dataValidation>
    <dataValidation type="list" allowBlank="1" showInputMessage="1" promptTitle="Score" prompt="5 strong | 4 good | 3 fair | 2 weak | 1 poor | 0 N/A" showErrorMessage="1" errorTitle="Score 0-5" error="Pick 0 (N/A) through 5 (strong). Leave blank if you have not scored yet." sqref="D34:D38">
      <formula1>"0,1,2,3,4,5"</formula1>
    </dataValidation>
    <dataValidation type="list" allowBlank="1" showInputMessage="1" promptTitle="Score" prompt="5 strong | 4 good | 3 fair | 2 weak | 1 poor | 0 N/A" showErrorMessage="1" errorTitle="Score 0-5" error="Pick 0 (N/A) through 5 (strong). Leave blank if you have not scored yet." sqref="D40:D44">
      <formula1>"0,1,2,3,4,5"</formula1>
    </dataValidation>
    <dataValidation type="list" allowBlank="1" showErrorMessage="1" errorTitle="Pick one" error="Choose Yes, No, or Unknown" sqref="F10">
      <formula1>"Yes,No,Unknown"</formula1>
    </dataValidation>
    <dataValidation type="list" allowBlank="1" sqref="F6">
      <formula1>"Unrestricted,Small Business,8(a) Sole Source,8(a) Competitive,HUBZone,SDVOSB,WOSB,EDWOSB,Total SB"</formula1>
    </dataValidation>
    <dataValidation type="list" allowBlank="1" sqref="F7">
      <formula1>"FFP,FFP-LOE,T&amp;M,CPFF,CPIF,CPAF,IDIQ,BPA,GSA Schedule,Other"</formula1>
    </dataValidation>
    <dataValidation type="list" allowBlank="1" showErrorMessage="1" errorTitle="Pick one" error="Choose Yes, No, or Unknown" sqref="F8:F10">
      <formula1>"Yes,No,Unknown"</formula1>
    </dataValidation>
  </dataValidations>
  <pageMargins left="0.4" right="0.4" top="0.6" bottom="0.6" header="0.3" footer="0.3"/>
  <pageSetup paperSize="9" orientation="portrait" horizontalDpi="4294967295" verticalDpi="4294967295" scale="100" fitToWidth="1" fitToHeight="0"/>
  <headerFooter>
    <oddHeader>&amp;LCapturePilot&amp;CBid / No-Bid Decision Matrix&amp;Rcapturepilot.com</oddHeader>
    <oddFooter>&amp;LFLK-04&amp;C&amp;P of &amp;N&amp;RConfidential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howGridLines="0">
      <pane ySplit="1" topLeftCell="A2" activePane="bottomLeft" state="frozen"/>
      <selection pane="bottomLeft"/>
    </sheetView>
  </sheetViews>
  <sheetFormatPr defaultRowHeight="15" outlineLevelRow="0" outlineLevelCol="0" x14ac:dyDescent="55"/>
  <cols>
    <col min="1" max="1" width="30" customWidth="1"/>
    <col min="2" max="2" width="28" customWidth="1"/>
    <col min="3" max="6" width="14" customWidth="1"/>
  </cols>
  <sheetData>
    <row r="1" ht="40" customHeight="1" spans="1:6" x14ac:dyDescent="0.25">
      <c r="A1" s="30" t="s">
        <v>61</v>
      </c>
      <c r="B1" s="30"/>
      <c r="C1" s="30"/>
      <c r="D1" s="30"/>
      <c r="E1" s="30"/>
      <c r="F1" s="30"/>
    </row>
    <row r="3" ht="20" customHeight="1" spans="1:6" x14ac:dyDescent="0.25">
      <c r="A3" s="3" t="s">
        <v>2</v>
      </c>
      <c r="B3" s="31">
        <f>IFERROR(opp_name,"")</f>
      </c>
      <c r="C3" s="31"/>
      <c r="D3" s="31"/>
      <c r="E3" s="31"/>
      <c r="F3" s="31"/>
    </row>
    <row r="4" ht="20" customHeight="1" spans="1:6" x14ac:dyDescent="0.25">
      <c r="A4" s="3" t="s">
        <v>4</v>
      </c>
      <c r="B4" s="31">
        <f>IFERROR(agency,"")</f>
      </c>
      <c r="C4" s="31"/>
      <c r="D4" s="31"/>
      <c r="E4" s="31"/>
      <c r="F4" s="31"/>
    </row>
    <row r="5" ht="20" customHeight="1" spans="1:6" x14ac:dyDescent="0.25">
      <c r="A5" s="3" t="s">
        <v>3</v>
      </c>
      <c r="B5" s="31">
        <f>IFERROR(sol_num,"")</f>
      </c>
      <c r="C5" s="31"/>
      <c r="D5" s="31"/>
      <c r="E5" s="31"/>
      <c r="F5" s="31"/>
    </row>
    <row r="6" ht="20" customHeight="1" spans="1:6" x14ac:dyDescent="0.25">
      <c r="A6" s="3" t="s">
        <v>5</v>
      </c>
      <c r="B6" s="31">
        <f>IFERROR(naics,"")</f>
      </c>
      <c r="C6" s="31"/>
      <c r="D6" s="31"/>
      <c r="E6" s="31"/>
      <c r="F6" s="31"/>
    </row>
    <row r="7" ht="20" customHeight="1" spans="1:6" x14ac:dyDescent="0.25">
      <c r="A7" s="3" t="s">
        <v>62</v>
      </c>
      <c r="B7" s="31">
        <f>IFERROR(setaside,"")</f>
      </c>
      <c r="C7" s="31"/>
      <c r="D7" s="31"/>
      <c r="E7" s="31"/>
      <c r="F7" s="31"/>
    </row>
    <row r="8" ht="20" customHeight="1" spans="1:6" x14ac:dyDescent="0.25">
      <c r="A8" s="3" t="s">
        <v>9</v>
      </c>
      <c r="B8" s="31">
        <f>IFERROR(ctype,"")</f>
      </c>
      <c r="C8" s="31"/>
      <c r="D8" s="31"/>
      <c r="E8" s="31"/>
      <c r="F8" s="31"/>
    </row>
    <row r="9" ht="20" customHeight="1" spans="1:6" x14ac:dyDescent="0.25">
      <c r="A9" s="3" t="s">
        <v>63</v>
      </c>
      <c r="B9" s="32">
        <f>IFERROR(value,"")</f>
      </c>
      <c r="C9" s="32"/>
      <c r="D9" s="32"/>
      <c r="E9" s="32"/>
      <c r="F9" s="32"/>
    </row>
    <row r="10" ht="20" customHeight="1" spans="1:6" x14ac:dyDescent="0.25">
      <c r="A10" s="3" t="s">
        <v>8</v>
      </c>
      <c r="B10" s="31">
        <f>IFERROR(pop,"")</f>
      </c>
      <c r="C10" s="31"/>
      <c r="D10" s="31"/>
      <c r="E10" s="31"/>
      <c r="F10" s="31"/>
    </row>
    <row r="11" ht="20" customHeight="1" spans="1:6" x14ac:dyDescent="0.25">
      <c r="A11" s="3" t="s">
        <v>10</v>
      </c>
      <c r="B11" s="33">
        <f>IFERROR(due_date,"")</f>
      </c>
      <c r="C11" s="33"/>
      <c r="D11" s="33"/>
      <c r="E11" s="33"/>
      <c r="F11" s="33"/>
    </row>
    <row r="12" ht="20" customHeight="1" spans="1:6" x14ac:dyDescent="0.25">
      <c r="A12" s="3" t="s">
        <v>12</v>
      </c>
      <c r="B12" s="31">
        <f>IFERROR(evaluator,"")</f>
      </c>
      <c r="C12" s="31"/>
      <c r="D12" s="31"/>
      <c r="E12" s="31"/>
      <c r="F12" s="31"/>
    </row>
    <row r="13" ht="20" customHeight="1" spans="1:6" x14ac:dyDescent="0.25">
      <c r="A13" s="3" t="s">
        <v>14</v>
      </c>
      <c r="B13" s="33">
        <f>IFERROR(eval_date,"")</f>
      </c>
      <c r="C13" s="33"/>
      <c r="D13" s="33"/>
      <c r="E13" s="33"/>
      <c r="F13" s="33"/>
    </row>
    <row r="15" ht="24" customHeight="1" spans="1:6" x14ac:dyDescent="0.25">
      <c r="A15" s="34" t="s">
        <v>64</v>
      </c>
      <c r="B15" s="34"/>
      <c r="C15" s="34"/>
      <c r="D15" s="34"/>
      <c r="E15" s="34"/>
      <c r="F15" s="34"/>
    </row>
    <row r="16" ht="22" customHeight="1" spans="1:6" x14ac:dyDescent="0.25">
      <c r="A16" s="35" t="s">
        <v>65</v>
      </c>
      <c r="B16" s="35" t="s">
        <v>66</v>
      </c>
      <c r="C16" s="35" t="s">
        <v>67</v>
      </c>
      <c r="D16" s="35" t="s">
        <v>68</v>
      </c>
      <c r="E16" s="35" t="s">
        <v>69</v>
      </c>
      <c r="F16" s="35" t="s">
        <v>70</v>
      </c>
    </row>
    <row r="17" ht="32" customHeight="1" spans="1:6" x14ac:dyDescent="0.25">
      <c r="A17" s="36" t="s">
        <v>71</v>
      </c>
      <c r="B17" s="37" t="s">
        <v>72</v>
      </c>
      <c r="C17" s="38">
        <f>SUM('Decision Matrix'!E16:E20)</f>
      </c>
      <c r="D17" s="39">
        <f>SUM('Decision Matrix'!F16:F20)</f>
      </c>
      <c r="E17" s="40">
        <f>IFERROR(C17/D17,0)</f>
      </c>
      <c r="F17" s="41">
        <f>IF(D17=0,"Not scored",IF(E17&gt;=0.6,"Strong",IF(E17&gt;=0.4,"Mixed","Weak")))</f>
      </c>
    </row>
    <row r="18" ht="32" customHeight="1" spans="1:6" x14ac:dyDescent="0.25">
      <c r="A18" s="36" t="s">
        <v>73</v>
      </c>
      <c r="B18" s="37" t="s">
        <v>74</v>
      </c>
      <c r="C18" s="38">
        <f>SUM('Decision Matrix'!E22:E26)</f>
      </c>
      <c r="D18" s="39">
        <f>SUM('Decision Matrix'!F22:F26)</f>
      </c>
      <c r="E18" s="40">
        <f>IFERROR(C18/D18,0)</f>
      </c>
      <c r="F18" s="41">
        <f>IF(D18=0,"Not scored",IF(E18&gt;=0.6,"Strong",IF(E18&gt;=0.4,"Mixed","Weak")))</f>
      </c>
    </row>
    <row r="19" ht="32" customHeight="1" spans="1:6" x14ac:dyDescent="0.25">
      <c r="A19" s="36" t="s">
        <v>75</v>
      </c>
      <c r="B19" s="37" t="s">
        <v>76</v>
      </c>
      <c r="C19" s="38">
        <f>SUM('Decision Matrix'!E28:E32)</f>
      </c>
      <c r="D19" s="39">
        <f>SUM('Decision Matrix'!F28:F32)</f>
      </c>
      <c r="E19" s="40">
        <f>IFERROR(C19/D19,0)</f>
      </c>
      <c r="F19" s="41">
        <f>IF(D19=0,"Not scored",IF(E19&gt;=0.6,"Strong",IF(E19&gt;=0.4,"Mixed","Weak")))</f>
      </c>
    </row>
    <row r="20" ht="32" customHeight="1" spans="1:6" x14ac:dyDescent="0.25">
      <c r="A20" s="36" t="s">
        <v>77</v>
      </c>
      <c r="B20" s="37" t="s">
        <v>78</v>
      </c>
      <c r="C20" s="38">
        <f>SUM('Decision Matrix'!E34:E38)</f>
      </c>
      <c r="D20" s="39">
        <f>SUM('Decision Matrix'!F34:F38)</f>
      </c>
      <c r="E20" s="40">
        <f>IFERROR(C20/D20,0)</f>
      </c>
      <c r="F20" s="41">
        <f>IF(D20=0,"Not scored",IF(E20&gt;=0.6,"Strong",IF(E20&gt;=0.4,"Mixed","Weak")))</f>
      </c>
    </row>
    <row r="21" ht="32" customHeight="1" spans="1:6" x14ac:dyDescent="0.25">
      <c r="A21" s="36" t="s">
        <v>79</v>
      </c>
      <c r="B21" s="37" t="s">
        <v>80</v>
      </c>
      <c r="C21" s="38">
        <f>SUM('Decision Matrix'!E40:E44)</f>
      </c>
      <c r="D21" s="39">
        <f>SUM('Decision Matrix'!F40:F44)</f>
      </c>
      <c r="E21" s="40">
        <f>IFERROR(C21/D21,0)</f>
      </c>
      <c r="F21" s="41">
        <f>IF(D21=0,"Not scored",IF(E21&gt;=0.6,"Strong",IF(E21&gt;=0.4,"Mixed","Weak")))</f>
      </c>
    </row>
    <row r="23" ht="24" customHeight="1" spans="1:6" x14ac:dyDescent="0.25">
      <c r="A23" s="21" t="s">
        <v>81</v>
      </c>
      <c r="B23" s="21"/>
      <c r="C23" s="21"/>
      <c r="D23" s="21"/>
      <c r="E23" s="21"/>
      <c r="F23" s="21"/>
    </row>
    <row r="24" ht="32" customHeight="1" spans="1:6" x14ac:dyDescent="0.25">
      <c r="A24" s="42" t="s">
        <v>82</v>
      </c>
      <c r="B24" s="43">
        <f>total_weighted</f>
      </c>
      <c r="C24" s="42" t="s">
        <v>83</v>
      </c>
      <c r="D24" s="44">
        <f>total_max</f>
      </c>
      <c r="E24" s="42" t="s">
        <v>84</v>
      </c>
      <c r="F24" s="45">
        <f>score_pct</f>
      </c>
    </row>
    <row r="25" ht="48" customHeight="1" spans="1:6" x14ac:dyDescent="0.25">
      <c r="A25" s="46">
        <f>recommendation</f>
      </c>
      <c r="B25" s="46"/>
      <c r="C25" s="46"/>
      <c r="D25" s="46"/>
      <c r="E25" s="46"/>
      <c r="F25" s="46"/>
    </row>
    <row r="27" spans="1:6" x14ac:dyDescent="0.25">
      <c r="A27" s="29" t="s">
        <v>60</v>
      </c>
      <c r="B27" s="29"/>
      <c r="C27" s="29"/>
      <c r="D27" s="29"/>
      <c r="E27" s="29"/>
      <c r="F27" s="29"/>
    </row>
  </sheetData>
  <mergeCells count="16">
    <mergeCell ref="A1:F1"/>
    <mergeCell ref="B3:F3"/>
    <mergeCell ref="B4:F4"/>
    <mergeCell ref="B5:F5"/>
    <mergeCell ref="B6:F6"/>
    <mergeCell ref="B7:F7"/>
    <mergeCell ref="B8:F8"/>
    <mergeCell ref="B9:F9"/>
    <mergeCell ref="B10:F10"/>
    <mergeCell ref="B11:F11"/>
    <mergeCell ref="B12:F12"/>
    <mergeCell ref="B13:F13"/>
    <mergeCell ref="A15:F15"/>
    <mergeCell ref="A23:F23"/>
    <mergeCell ref="A25:F25"/>
    <mergeCell ref="A27:F27"/>
  </mergeCells>
  <conditionalFormatting sqref="F17">
    <cfRule type="containsText" dxfId="9" priority="1">
      <formula>NOT(ISERROR(SEARCH("Strong",F17)))</formula>
    </cfRule>
    <cfRule type="containsText" dxfId="10" priority="2">
      <formula>NOT(ISERROR(SEARCH("Mixed",F17)))</formula>
    </cfRule>
    <cfRule type="containsText" dxfId="11" priority="3">
      <formula>NOT(ISERROR(SEARCH("Weak",F17)))</formula>
    </cfRule>
  </conditionalFormatting>
  <conditionalFormatting sqref="F18">
    <cfRule type="containsText" dxfId="12" priority="1">
      <formula>NOT(ISERROR(SEARCH("Strong",F18)))</formula>
    </cfRule>
    <cfRule type="containsText" dxfId="13" priority="2">
      <formula>NOT(ISERROR(SEARCH("Mixed",F18)))</formula>
    </cfRule>
    <cfRule type="containsText" dxfId="14" priority="3">
      <formula>NOT(ISERROR(SEARCH("Weak",F18)))</formula>
    </cfRule>
  </conditionalFormatting>
  <conditionalFormatting sqref="F19">
    <cfRule type="containsText" dxfId="15" priority="1">
      <formula>NOT(ISERROR(SEARCH("Strong",F19)))</formula>
    </cfRule>
    <cfRule type="containsText" dxfId="16" priority="2">
      <formula>NOT(ISERROR(SEARCH("Mixed",F19)))</formula>
    </cfRule>
    <cfRule type="containsText" dxfId="17" priority="3">
      <formula>NOT(ISERROR(SEARCH("Weak",F19)))</formula>
    </cfRule>
  </conditionalFormatting>
  <conditionalFormatting sqref="F20">
    <cfRule type="containsText" dxfId="18" priority="1">
      <formula>NOT(ISERROR(SEARCH("Strong",F20)))</formula>
    </cfRule>
    <cfRule type="containsText" dxfId="19" priority="2">
      <formula>NOT(ISERROR(SEARCH("Mixed",F20)))</formula>
    </cfRule>
    <cfRule type="containsText" dxfId="20" priority="3">
      <formula>NOT(ISERROR(SEARCH("Weak",F20)))</formula>
    </cfRule>
  </conditionalFormatting>
  <conditionalFormatting sqref="F21">
    <cfRule type="containsText" dxfId="21" priority="1">
      <formula>NOT(ISERROR(SEARCH("Strong",F21)))</formula>
    </cfRule>
    <cfRule type="containsText" dxfId="22" priority="2">
      <formula>NOT(ISERROR(SEARCH("Mixed",F21)))</formula>
    </cfRule>
    <cfRule type="containsText" dxfId="23" priority="3">
      <formula>NOT(ISERROR(SEARCH("Weak",F21)))</formula>
    </cfRule>
  </conditionalFormatting>
  <conditionalFormatting sqref="A25:F25">
    <cfRule type="containsText" dxfId="24" priority="1">
      <formula>NOT(ISERROR(SEARCH("BID  -  Strong",A25)))</formula>
    </cfRule>
    <cfRule type="containsText" dxfId="25" priority="2">
      <formula>NOT(ISERROR(SEARCH("REVIEW",A25)))</formula>
    </cfRule>
    <cfRule type="containsText" dxfId="26" priority="3">
      <formula>NOT(ISERROR(SEARCH("NO BID",A25)))</formula>
    </cfRule>
  </conditionalFormatting>
  <pageMargins left="0.4" right="0.4" top="0.6" bottom="0.6" header="0.3" footer="0.3"/>
  <pageSetup paperSize="9" orientation="portrait" horizontalDpi="4294967295" verticalDpi="4294967295" scale="100" fitToWidth="1" fitToHeight="1"/>
  <headerFooter>
    <oddHeader>&amp;LCapturePilot&amp;CBid / No-Bid Summary&amp;Rcapturepilot.com</oddHeader>
    <oddFooter>&amp;LFLK-04&amp;C&amp;P of &amp;N&amp;RConfidential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workbookViewId="0" showGridLines="0">
      <pane ySplit="1" topLeftCell="A2" activePane="bottomLeft" state="frozen"/>
      <selection pane="bottomLeft"/>
    </sheetView>
  </sheetViews>
  <sheetFormatPr defaultRowHeight="15" outlineLevelRow="0" outlineLevelCol="0" x14ac:dyDescent="55"/>
  <cols>
    <col min="1" max="1" width="6" customWidth="1"/>
    <col min="2" max="2" width="8" customWidth="1"/>
    <col min="3" max="3" width="36" customWidth="1"/>
    <col min="4" max="4" width="8" customWidth="1"/>
    <col min="5" max="5" width="60" customWidth="1"/>
  </cols>
  <sheetData>
    <row r="1" ht="36" customHeight="1" spans="1:5" x14ac:dyDescent="0.25">
      <c r="A1" s="47" t="s">
        <v>85</v>
      </c>
      <c r="B1" s="47"/>
      <c r="C1" s="47"/>
      <c r="D1" s="47"/>
      <c r="E1" s="47"/>
    </row>
    <row r="3" ht="22" customHeight="1" spans="1:5" x14ac:dyDescent="0.25">
      <c r="A3" s="48" t="s">
        <v>86</v>
      </c>
      <c r="B3" s="48"/>
      <c r="C3" s="48"/>
      <c r="D3" s="48"/>
      <c r="E3" s="48"/>
    </row>
    <row r="4" ht="30" customHeight="1" spans="2:5" x14ac:dyDescent="0.25">
      <c r="B4" s="49">
        <v>5</v>
      </c>
      <c r="C4" s="50" t="s">
        <v>87</v>
      </c>
      <c r="D4" s="51" t="s">
        <v>88</v>
      </c>
      <c r="E4" s="51"/>
    </row>
    <row r="5" ht="30" customHeight="1" spans="2:5" x14ac:dyDescent="0.25">
      <c r="B5" s="49">
        <v>4</v>
      </c>
      <c r="C5" s="50" t="s">
        <v>89</v>
      </c>
      <c r="D5" s="51" t="s">
        <v>90</v>
      </c>
      <c r="E5" s="51"/>
    </row>
    <row r="6" ht="30" customHeight="1" spans="2:5" x14ac:dyDescent="0.25">
      <c r="B6" s="52">
        <v>3</v>
      </c>
      <c r="C6" s="53" t="s">
        <v>91</v>
      </c>
      <c r="D6" s="51" t="s">
        <v>92</v>
      </c>
      <c r="E6" s="51"/>
    </row>
    <row r="7" ht="30" customHeight="1" spans="2:5" x14ac:dyDescent="0.25">
      <c r="B7" s="54">
        <v>2</v>
      </c>
      <c r="C7" s="55" t="s">
        <v>93</v>
      </c>
      <c r="D7" s="51" t="s">
        <v>94</v>
      </c>
      <c r="E7" s="51"/>
    </row>
    <row r="8" ht="30" customHeight="1" spans="2:5" x14ac:dyDescent="0.25">
      <c r="B8" s="54">
        <v>1</v>
      </c>
      <c r="C8" s="55" t="s">
        <v>95</v>
      </c>
      <c r="D8" s="51" t="s">
        <v>96</v>
      </c>
      <c r="E8" s="51"/>
    </row>
    <row r="9" ht="30" customHeight="1" spans="2:5" x14ac:dyDescent="0.25">
      <c r="B9" s="56">
        <v>0</v>
      </c>
      <c r="C9" s="57" t="s">
        <v>97</v>
      </c>
      <c r="D9" s="51" t="s">
        <v>98</v>
      </c>
      <c r="E9" s="51"/>
    </row>
    <row r="11" ht="22" customHeight="1" spans="1:5" x14ac:dyDescent="0.25">
      <c r="A11" s="48" t="s">
        <v>99</v>
      </c>
      <c r="B11" s="48"/>
      <c r="C11" s="48"/>
      <c r="D11" s="48"/>
      <c r="E11" s="48"/>
    </row>
    <row r="12" ht="22" customHeight="1" spans="1:5" x14ac:dyDescent="0.25">
      <c r="A12" s="35" t="s">
        <v>16</v>
      </c>
      <c r="B12" s="35" t="s">
        <v>100</v>
      </c>
      <c r="C12" s="35" t="s">
        <v>101</v>
      </c>
      <c r="D12" s="35" t="s">
        <v>102</v>
      </c>
      <c r="E12" s="35" t="s">
        <v>103</v>
      </c>
    </row>
    <row r="13" ht="20" customHeight="1" spans="1:5" x14ac:dyDescent="0.25">
      <c r="A13" s="58" t="s">
        <v>71</v>
      </c>
      <c r="B13" s="58"/>
      <c r="C13" s="58"/>
      <c r="D13" s="58"/>
      <c r="E13" s="58"/>
    </row>
    <row r="14" ht="32" customHeight="1" spans="1:5" x14ac:dyDescent="0.25">
      <c r="A14" s="59">
        <v>1</v>
      </c>
      <c r="C14" s="60" t="s">
        <v>24</v>
      </c>
      <c r="D14" s="61">
        <v>5</v>
      </c>
      <c r="E14" s="62" t="s">
        <v>104</v>
      </c>
    </row>
    <row r="15" ht="32" customHeight="1" spans="1:5" x14ac:dyDescent="0.25">
      <c r="A15" s="63">
        <v>2</v>
      </c>
      <c r="C15" s="64" t="s">
        <v>25</v>
      </c>
      <c r="D15" s="65">
        <v>4</v>
      </c>
      <c r="E15" s="66" t="s">
        <v>105</v>
      </c>
    </row>
    <row r="16" ht="32" customHeight="1" spans="1:5" x14ac:dyDescent="0.25">
      <c r="A16" s="59">
        <v>3</v>
      </c>
      <c r="C16" s="60" t="s">
        <v>26</v>
      </c>
      <c r="D16" s="61">
        <v>4</v>
      </c>
      <c r="E16" s="62" t="s">
        <v>106</v>
      </c>
    </row>
    <row r="17" ht="32" customHeight="1" spans="1:5" x14ac:dyDescent="0.25">
      <c r="A17" s="63">
        <v>4</v>
      </c>
      <c r="C17" s="64" t="s">
        <v>27</v>
      </c>
      <c r="D17" s="65">
        <v>3</v>
      </c>
      <c r="E17" s="66" t="s">
        <v>107</v>
      </c>
    </row>
    <row r="18" ht="32" customHeight="1" spans="1:5" x14ac:dyDescent="0.25">
      <c r="A18" s="59">
        <v>5</v>
      </c>
      <c r="C18" s="60" t="s">
        <v>28</v>
      </c>
      <c r="D18" s="61">
        <v>4</v>
      </c>
      <c r="E18" s="62" t="s">
        <v>108</v>
      </c>
    </row>
    <row r="19" ht="20" customHeight="1" spans="1:5" x14ac:dyDescent="0.25">
      <c r="A19" s="58" t="s">
        <v>73</v>
      </c>
      <c r="B19" s="58"/>
      <c r="C19" s="58"/>
      <c r="D19" s="58"/>
      <c r="E19" s="58"/>
    </row>
    <row r="20" ht="32" customHeight="1" spans="1:5" x14ac:dyDescent="0.25">
      <c r="A20" s="59">
        <v>6</v>
      </c>
      <c r="C20" s="60" t="s">
        <v>30</v>
      </c>
      <c r="D20" s="61">
        <v>5</v>
      </c>
      <c r="E20" s="62" t="s">
        <v>109</v>
      </c>
    </row>
    <row r="21" ht="32" customHeight="1" spans="1:5" x14ac:dyDescent="0.25">
      <c r="A21" s="63">
        <v>7</v>
      </c>
      <c r="C21" s="64" t="s">
        <v>31</v>
      </c>
      <c r="D21" s="65">
        <v>4</v>
      </c>
      <c r="E21" s="66" t="s">
        <v>110</v>
      </c>
    </row>
    <row r="22" ht="32" customHeight="1" spans="1:5" x14ac:dyDescent="0.25">
      <c r="A22" s="59">
        <v>8</v>
      </c>
      <c r="C22" s="60" t="s">
        <v>32</v>
      </c>
      <c r="D22" s="61">
        <v>4</v>
      </c>
      <c r="E22" s="62" t="s">
        <v>111</v>
      </c>
    </row>
    <row r="23" ht="32" customHeight="1" spans="1:5" x14ac:dyDescent="0.25">
      <c r="A23" s="63">
        <v>9</v>
      </c>
      <c r="C23" s="64" t="s">
        <v>33</v>
      </c>
      <c r="D23" s="65">
        <v>5</v>
      </c>
      <c r="E23" s="66" t="s">
        <v>112</v>
      </c>
    </row>
    <row r="24" ht="32" customHeight="1" spans="1:5" x14ac:dyDescent="0.25">
      <c r="A24" s="59">
        <v>10</v>
      </c>
      <c r="C24" s="60" t="s">
        <v>34</v>
      </c>
      <c r="D24" s="61">
        <v>3</v>
      </c>
      <c r="E24" s="62" t="s">
        <v>113</v>
      </c>
    </row>
    <row r="25" ht="20" customHeight="1" spans="1:5" x14ac:dyDescent="0.25">
      <c r="A25" s="58" t="s">
        <v>75</v>
      </c>
      <c r="B25" s="58"/>
      <c r="C25" s="58"/>
      <c r="D25" s="58"/>
      <c r="E25" s="58"/>
    </row>
    <row r="26" ht="32" customHeight="1" spans="1:5" x14ac:dyDescent="0.25">
      <c r="A26" s="59">
        <v>11</v>
      </c>
      <c r="C26" s="60" t="s">
        <v>36</v>
      </c>
      <c r="D26" s="61">
        <v>5</v>
      </c>
      <c r="E26" s="62" t="s">
        <v>114</v>
      </c>
    </row>
    <row r="27" ht="32" customHeight="1" spans="1:5" x14ac:dyDescent="0.25">
      <c r="A27" s="63">
        <v>12</v>
      </c>
      <c r="C27" s="64" t="s">
        <v>37</v>
      </c>
      <c r="D27" s="65">
        <v>4</v>
      </c>
      <c r="E27" s="66" t="s">
        <v>115</v>
      </c>
    </row>
    <row r="28" ht="32" customHeight="1" spans="1:5" x14ac:dyDescent="0.25">
      <c r="A28" s="59">
        <v>13</v>
      </c>
      <c r="C28" s="60" t="s">
        <v>38</v>
      </c>
      <c r="D28" s="61">
        <v>4</v>
      </c>
      <c r="E28" s="62" t="s">
        <v>116</v>
      </c>
    </row>
    <row r="29" ht="32" customHeight="1" spans="1:5" x14ac:dyDescent="0.25">
      <c r="A29" s="63">
        <v>14</v>
      </c>
      <c r="C29" s="64" t="s">
        <v>39</v>
      </c>
      <c r="D29" s="65">
        <v>3</v>
      </c>
      <c r="E29" s="66" t="s">
        <v>117</v>
      </c>
    </row>
    <row r="30" ht="32" customHeight="1" spans="1:5" x14ac:dyDescent="0.25">
      <c r="A30" s="59">
        <v>15</v>
      </c>
      <c r="C30" s="60" t="s">
        <v>40</v>
      </c>
      <c r="D30" s="61">
        <v>4</v>
      </c>
      <c r="E30" s="62" t="s">
        <v>118</v>
      </c>
    </row>
    <row r="31" ht="20" customHeight="1" spans="1:5" x14ac:dyDescent="0.25">
      <c r="A31" s="58" t="s">
        <v>77</v>
      </c>
      <c r="B31" s="58"/>
      <c r="C31" s="58"/>
      <c r="D31" s="58"/>
      <c r="E31" s="58"/>
    </row>
    <row r="32" ht="32" customHeight="1" spans="1:5" x14ac:dyDescent="0.25">
      <c r="A32" s="59">
        <v>16</v>
      </c>
      <c r="C32" s="60" t="s">
        <v>42</v>
      </c>
      <c r="D32" s="61">
        <v>4</v>
      </c>
      <c r="E32" s="62" t="s">
        <v>119</v>
      </c>
    </row>
    <row r="33" ht="32" customHeight="1" spans="1:5" x14ac:dyDescent="0.25">
      <c r="A33" s="63">
        <v>17</v>
      </c>
      <c r="C33" s="64" t="s">
        <v>43</v>
      </c>
      <c r="D33" s="65">
        <v>5</v>
      </c>
      <c r="E33" s="66" t="s">
        <v>120</v>
      </c>
    </row>
    <row r="34" ht="32" customHeight="1" spans="1:5" x14ac:dyDescent="0.25">
      <c r="A34" s="59">
        <v>18</v>
      </c>
      <c r="C34" s="60" t="s">
        <v>44</v>
      </c>
      <c r="D34" s="61">
        <v>5</v>
      </c>
      <c r="E34" s="62" t="s">
        <v>121</v>
      </c>
    </row>
    <row r="35" ht="32" customHeight="1" spans="1:5" x14ac:dyDescent="0.25">
      <c r="A35" s="63">
        <v>19</v>
      </c>
      <c r="C35" s="64" t="s">
        <v>45</v>
      </c>
      <c r="D35" s="65">
        <v>4</v>
      </c>
      <c r="E35" s="66" t="s">
        <v>122</v>
      </c>
    </row>
    <row r="36" ht="32" customHeight="1" spans="1:5" x14ac:dyDescent="0.25">
      <c r="A36" s="59">
        <v>20</v>
      </c>
      <c r="C36" s="60" t="s">
        <v>46</v>
      </c>
      <c r="D36" s="61">
        <v>3</v>
      </c>
      <c r="E36" s="62" t="s">
        <v>123</v>
      </c>
    </row>
    <row r="37" ht="20" customHeight="1" spans="1:5" x14ac:dyDescent="0.25">
      <c r="A37" s="58" t="s">
        <v>79</v>
      </c>
      <c r="B37" s="58"/>
      <c r="C37" s="58"/>
      <c r="D37" s="58"/>
      <c r="E37" s="58"/>
    </row>
    <row r="38" ht="32" customHeight="1" spans="1:5" x14ac:dyDescent="0.25">
      <c r="A38" s="59">
        <v>21</v>
      </c>
      <c r="C38" s="60" t="s">
        <v>48</v>
      </c>
      <c r="D38" s="61">
        <v>4</v>
      </c>
      <c r="E38" s="62" t="s">
        <v>124</v>
      </c>
    </row>
    <row r="39" ht="32" customHeight="1" spans="1:5" x14ac:dyDescent="0.25">
      <c r="A39" s="63">
        <v>22</v>
      </c>
      <c r="C39" s="64" t="s">
        <v>49</v>
      </c>
      <c r="D39" s="65">
        <v>4</v>
      </c>
      <c r="E39" s="66" t="s">
        <v>125</v>
      </c>
    </row>
    <row r="40" ht="32" customHeight="1" spans="1:5" x14ac:dyDescent="0.25">
      <c r="A40" s="59">
        <v>23</v>
      </c>
      <c r="C40" s="60" t="s">
        <v>50</v>
      </c>
      <c r="D40" s="61">
        <v>5</v>
      </c>
      <c r="E40" s="62" t="s">
        <v>126</v>
      </c>
    </row>
    <row r="41" ht="32" customHeight="1" spans="1:5" x14ac:dyDescent="0.25">
      <c r="A41" s="63">
        <v>24</v>
      </c>
      <c r="C41" s="64" t="s">
        <v>51</v>
      </c>
      <c r="D41" s="65">
        <v>3</v>
      </c>
      <c r="E41" s="66" t="s">
        <v>127</v>
      </c>
    </row>
    <row r="42" ht="32" customHeight="1" spans="1:5" x14ac:dyDescent="0.25">
      <c r="A42" s="59">
        <v>25</v>
      </c>
      <c r="C42" s="60" t="s">
        <v>52</v>
      </c>
      <c r="D42" s="61">
        <v>4</v>
      </c>
      <c r="E42" s="62" t="s">
        <v>128</v>
      </c>
    </row>
  </sheetData>
  <mergeCells count="14">
    <mergeCell ref="A1:E1"/>
    <mergeCell ref="A3:E3"/>
    <mergeCell ref="D4:E4"/>
    <mergeCell ref="D5:E5"/>
    <mergeCell ref="D6:E6"/>
    <mergeCell ref="D7:E7"/>
    <mergeCell ref="D8:E8"/>
    <mergeCell ref="D9:E9"/>
    <mergeCell ref="A11:E11"/>
    <mergeCell ref="A13:E13"/>
    <mergeCell ref="A19:E19"/>
    <mergeCell ref="A25:E25"/>
    <mergeCell ref="A31:E31"/>
    <mergeCell ref="A37:E37"/>
  </mergeCells>
  <pageMargins left="0.4" right="0.4" top="0.6" bottom="0.6" header="0.3" footer="0.3"/>
  <pageSetup paperSize="9" orientation="portrait" horizontalDpi="4294967295" verticalDpi="4294967295" scale="100" fitToWidth="1" fitToHeight="0"/>
  <headerFooter>
    <oddHeader>&amp;LCapturePilot&amp;CScoring Guide&amp;Rcapturepilot.com</oddHeader>
    <oddFooter>&amp;LFLK-04&amp;C&amp;P of &amp;N&amp;RConfidential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0"/>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14" customWidth="1"/>
    <col min="3" max="3" width="100" customWidth="1"/>
  </cols>
  <sheetData>
    <row r="1" ht="36" customHeight="1" spans="1:3" x14ac:dyDescent="0.25">
      <c r="A1" s="47" t="s">
        <v>129</v>
      </c>
      <c r="B1" s="47"/>
      <c r="C1" s="47"/>
    </row>
    <row r="3" ht="24" customHeight="1" spans="1:3" x14ac:dyDescent="0.25">
      <c r="A3" s="34" t="s">
        <v>130</v>
      </c>
      <c r="B3" s="34"/>
      <c r="C3" s="34"/>
    </row>
    <row r="4" ht="54" customHeight="1" spans="2:3" x14ac:dyDescent="0.25">
      <c r="B4" s="67" t="s">
        <v>131</v>
      </c>
      <c r="C4" s="67"/>
    </row>
    <row r="5" ht="54" customHeight="1" spans="2:3" x14ac:dyDescent="0.25">
      <c r="B5" s="67" t="s">
        <v>132</v>
      </c>
      <c r="C5" s="67"/>
    </row>
    <row r="6" ht="24" customHeight="1" spans="1:3" x14ac:dyDescent="0.25">
      <c r="A6" s="34" t="s">
        <v>133</v>
      </c>
      <c r="B6" s="34"/>
      <c r="C6" s="34"/>
    </row>
    <row r="7" ht="54" customHeight="1" spans="2:3" x14ac:dyDescent="0.25">
      <c r="B7" s="68" t="s">
        <v>134</v>
      </c>
      <c r="C7" s="67" t="s">
        <v>135</v>
      </c>
    </row>
    <row r="8" ht="54" customHeight="1" spans="2:3" x14ac:dyDescent="0.25">
      <c r="B8" s="68" t="s">
        <v>136</v>
      </c>
      <c r="C8" s="67" t="s">
        <v>137</v>
      </c>
    </row>
    <row r="9" ht="54" customHeight="1" spans="2:3" x14ac:dyDescent="0.25">
      <c r="B9" s="68" t="s">
        <v>138</v>
      </c>
      <c r="C9" s="67" t="s">
        <v>139</v>
      </c>
    </row>
    <row r="10" ht="72" customHeight="1" spans="2:3" x14ac:dyDescent="0.25">
      <c r="B10" s="68" t="s">
        <v>140</v>
      </c>
      <c r="C10" s="67" t="s">
        <v>141</v>
      </c>
    </row>
    <row r="11" ht="72" customHeight="1" spans="2:3" x14ac:dyDescent="0.25">
      <c r="B11" s="68" t="s">
        <v>142</v>
      </c>
      <c r="C11" s="67" t="s">
        <v>143</v>
      </c>
    </row>
    <row r="12" ht="24" customHeight="1" spans="1:3" x14ac:dyDescent="0.25">
      <c r="A12" s="34" t="s">
        <v>144</v>
      </c>
      <c r="B12" s="34"/>
      <c r="C12" s="34"/>
    </row>
    <row r="13" ht="72" customHeight="1" spans="2:3" x14ac:dyDescent="0.25">
      <c r="B13" s="67" t="s">
        <v>145</v>
      </c>
      <c r="C13" s="67"/>
    </row>
    <row r="14" ht="54" customHeight="1" spans="2:3" x14ac:dyDescent="0.25">
      <c r="B14" s="67" t="s">
        <v>146</v>
      </c>
      <c r="C14" s="67"/>
    </row>
    <row r="15" ht="24" customHeight="1" spans="1:3" x14ac:dyDescent="0.25">
      <c r="A15" s="34" t="s">
        <v>147</v>
      </c>
      <c r="B15" s="34"/>
      <c r="C15" s="34"/>
    </row>
    <row r="16" ht="72" customHeight="1" spans="2:3" x14ac:dyDescent="0.25">
      <c r="B16" s="67" t="s">
        <v>148</v>
      </c>
      <c r="C16" s="67"/>
    </row>
    <row r="17" ht="36" customHeight="1" spans="2:3" x14ac:dyDescent="0.25">
      <c r="B17" s="67" t="s">
        <v>149</v>
      </c>
      <c r="C17" s="67"/>
    </row>
    <row r="18" ht="24" customHeight="1" spans="1:3" x14ac:dyDescent="0.25">
      <c r="A18" s="34" t="s">
        <v>150</v>
      </c>
      <c r="B18" s="34"/>
      <c r="C18" s="34"/>
    </row>
    <row r="19" ht="54" customHeight="1" spans="2:3" x14ac:dyDescent="0.25">
      <c r="B19" s="67" t="s">
        <v>151</v>
      </c>
      <c r="C19" s="67"/>
    </row>
    <row r="20" ht="36" customHeight="1" spans="2:3" x14ac:dyDescent="0.25">
      <c r="B20" s="67" t="s">
        <v>152</v>
      </c>
      <c r="C20" s="67"/>
    </row>
    <row r="21" ht="36" customHeight="1" spans="2:3" x14ac:dyDescent="0.25">
      <c r="B21" s="67" t="s">
        <v>153</v>
      </c>
      <c r="C21" s="67"/>
    </row>
    <row r="22" ht="24" customHeight="1" spans="1:3" x14ac:dyDescent="0.25">
      <c r="A22" s="34" t="s">
        <v>154</v>
      </c>
      <c r="B22" s="34"/>
      <c r="C22" s="34"/>
    </row>
    <row r="23" ht="36" customHeight="1" spans="2:3" x14ac:dyDescent="0.25">
      <c r="B23" s="68" t="s">
        <v>134</v>
      </c>
      <c r="C23" s="67" t="s">
        <v>155</v>
      </c>
    </row>
    <row r="24" ht="36" customHeight="1" spans="2:3" x14ac:dyDescent="0.25">
      <c r="B24" s="68" t="s">
        <v>136</v>
      </c>
      <c r="C24" s="67" t="s">
        <v>156</v>
      </c>
    </row>
    <row r="25" ht="36" customHeight="1" spans="2:3" x14ac:dyDescent="0.25">
      <c r="B25" s="68" t="s">
        <v>138</v>
      </c>
      <c r="C25" s="67" t="s">
        <v>157</v>
      </c>
    </row>
    <row r="26" ht="36" customHeight="1" spans="2:3" x14ac:dyDescent="0.25">
      <c r="B26" s="68" t="s">
        <v>140</v>
      </c>
      <c r="C26" s="67" t="s">
        <v>158</v>
      </c>
    </row>
    <row r="27" ht="24" customHeight="1" spans="1:3" x14ac:dyDescent="0.25">
      <c r="A27" s="34" t="s">
        <v>159</v>
      </c>
      <c r="B27" s="34"/>
      <c r="C27" s="34"/>
    </row>
    <row r="28" ht="54" customHeight="1" spans="2:3" x14ac:dyDescent="0.25">
      <c r="B28" s="67" t="s">
        <v>160</v>
      </c>
      <c r="C28" s="67"/>
    </row>
    <row r="30" spans="1:3" x14ac:dyDescent="0.25">
      <c r="A30" s="29" t="s">
        <v>60</v>
      </c>
      <c r="B30" s="29"/>
      <c r="C30" s="29"/>
    </row>
  </sheetData>
  <mergeCells count="19">
    <mergeCell ref="A1:C1"/>
    <mergeCell ref="A3:C3"/>
    <mergeCell ref="B4:C4"/>
    <mergeCell ref="B5:C5"/>
    <mergeCell ref="A6:C6"/>
    <mergeCell ref="A12:C12"/>
    <mergeCell ref="B13:C13"/>
    <mergeCell ref="B14:C14"/>
    <mergeCell ref="A15:C15"/>
    <mergeCell ref="B16:C16"/>
    <mergeCell ref="B17:C17"/>
    <mergeCell ref="A18:C18"/>
    <mergeCell ref="B19:C19"/>
    <mergeCell ref="B20:C20"/>
    <mergeCell ref="B21:C21"/>
    <mergeCell ref="A22:C22"/>
    <mergeCell ref="A27:C27"/>
    <mergeCell ref="B28:C28"/>
    <mergeCell ref="A30:C30"/>
  </mergeCells>
  <pageMargins left="0.5" right="0.5" top="0.6" bottom="0.6" header="0.3" footer="0.3"/>
  <pageSetup paperSize="9" orientation="portrait"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workbookViewId="0" showGridLines="0">
      <pane ySplit="1" topLeftCell="A2" activePane="bottomLeft" state="frozen"/>
      <selection pane="bottomLeft"/>
    </sheetView>
  </sheetViews>
  <sheetFormatPr defaultRowHeight="15" outlineLevelRow="0" outlineLevelCol="0" x14ac:dyDescent="55"/>
  <cols>
    <col min="1" max="1" width="5" customWidth="1"/>
    <col min="2" max="2" width="42" customWidth="1"/>
    <col min="3" max="4" width="8" customWidth="1"/>
    <col min="5" max="6" width="10" customWidth="1"/>
    <col min="7" max="7" width="40" customWidth="1"/>
  </cols>
  <sheetData>
    <row r="1" ht="36" customHeight="1" spans="1:7" x14ac:dyDescent="0.25">
      <c r="A1" s="47" t="s">
        <v>161</v>
      </c>
      <c r="B1" s="47"/>
      <c r="C1" s="47"/>
      <c r="D1" s="47"/>
      <c r="E1" s="47"/>
      <c r="F1" s="47"/>
      <c r="G1" s="47"/>
    </row>
    <row r="3" ht="56" customHeight="1" spans="1:7" x14ac:dyDescent="0.25">
      <c r="A3" s="37" t="s">
        <v>162</v>
      </c>
      <c r="B3" s="37"/>
      <c r="C3" s="37"/>
      <c r="D3" s="37"/>
      <c r="E3" s="37"/>
      <c r="F3" s="37"/>
      <c r="G3" s="37"/>
    </row>
    <row r="5" ht="24" customHeight="1" spans="1:7" x14ac:dyDescent="0.25">
      <c r="A5" s="35" t="s">
        <v>16</v>
      </c>
      <c r="B5" s="35" t="s">
        <v>163</v>
      </c>
      <c r="C5" s="35" t="s">
        <v>164</v>
      </c>
      <c r="D5" s="35" t="s">
        <v>165</v>
      </c>
      <c r="E5" s="35" t="s">
        <v>166</v>
      </c>
      <c r="F5" s="35" t="s">
        <v>167</v>
      </c>
      <c r="G5" s="35" t="s">
        <v>168</v>
      </c>
    </row>
    <row r="6" ht="20" customHeight="1" spans="1:7" x14ac:dyDescent="0.25">
      <c r="A6" s="8" t="s">
        <v>71</v>
      </c>
      <c r="B6" s="8"/>
      <c r="C6" s="8"/>
      <c r="D6" s="8"/>
      <c r="E6" s="8"/>
      <c r="F6" s="8"/>
      <c r="G6" s="8"/>
    </row>
    <row r="7" ht="24" customHeight="1" spans="1:7" x14ac:dyDescent="0.25">
      <c r="A7" s="59">
        <v>1</v>
      </c>
      <c r="B7" s="69" t="s">
        <v>24</v>
      </c>
      <c r="C7" s="61">
        <v>5</v>
      </c>
      <c r="D7" s="70">
        <v>5</v>
      </c>
      <c r="E7" s="71">
        <v>25</v>
      </c>
      <c r="F7" s="72">
        <v>25</v>
      </c>
      <c r="G7" s="73" t="s">
        <v>169</v>
      </c>
    </row>
    <row r="8" ht="24" customHeight="1" spans="1:7" x14ac:dyDescent="0.25">
      <c r="A8" s="63">
        <v>2</v>
      </c>
      <c r="B8" s="74" t="s">
        <v>25</v>
      </c>
      <c r="C8" s="65">
        <v>4</v>
      </c>
      <c r="D8" s="70">
        <v>4</v>
      </c>
      <c r="E8" s="75">
        <v>16</v>
      </c>
      <c r="F8" s="76">
        <v>20</v>
      </c>
      <c r="G8" s="77" t="s">
        <v>170</v>
      </c>
    </row>
    <row r="9" ht="24" customHeight="1" spans="1:7" x14ac:dyDescent="0.25">
      <c r="A9" s="59">
        <v>3</v>
      </c>
      <c r="B9" s="69" t="s">
        <v>26</v>
      </c>
      <c r="C9" s="61">
        <v>4</v>
      </c>
      <c r="D9" s="70">
        <v>5</v>
      </c>
      <c r="E9" s="71">
        <v>20</v>
      </c>
      <c r="F9" s="72">
        <v>20</v>
      </c>
      <c r="G9" s="73" t="s">
        <v>171</v>
      </c>
    </row>
    <row r="10" ht="24" customHeight="1" spans="1:7" x14ac:dyDescent="0.25">
      <c r="A10" s="63">
        <v>4</v>
      </c>
      <c r="B10" s="74" t="s">
        <v>27</v>
      </c>
      <c r="C10" s="65">
        <v>3</v>
      </c>
      <c r="D10" s="70">
        <v>5</v>
      </c>
      <c r="E10" s="75">
        <v>15</v>
      </c>
      <c r="F10" s="76">
        <v>15</v>
      </c>
      <c r="G10" s="77" t="s">
        <v>172</v>
      </c>
    </row>
    <row r="11" ht="24" customHeight="1" spans="1:7" x14ac:dyDescent="0.25">
      <c r="A11" s="59">
        <v>5</v>
      </c>
      <c r="B11" s="69" t="s">
        <v>28</v>
      </c>
      <c r="C11" s="61">
        <v>4</v>
      </c>
      <c r="D11" s="70">
        <v>4</v>
      </c>
      <c r="E11" s="71">
        <v>16</v>
      </c>
      <c r="F11" s="72">
        <v>20</v>
      </c>
      <c r="G11" s="73" t="s">
        <v>173</v>
      </c>
    </row>
    <row r="12" ht="20" customHeight="1" spans="1:7" x14ac:dyDescent="0.25">
      <c r="A12" s="8" t="s">
        <v>73</v>
      </c>
      <c r="B12" s="8"/>
      <c r="C12" s="8"/>
      <c r="D12" s="8"/>
      <c r="E12" s="8"/>
      <c r="F12" s="8"/>
      <c r="G12" s="8"/>
    </row>
    <row r="13" ht="24" customHeight="1" spans="1:7" x14ac:dyDescent="0.25">
      <c r="A13" s="59">
        <v>6</v>
      </c>
      <c r="B13" s="69" t="s">
        <v>30</v>
      </c>
      <c r="C13" s="61">
        <v>5</v>
      </c>
      <c r="D13" s="70">
        <v>4</v>
      </c>
      <c r="E13" s="71">
        <v>20</v>
      </c>
      <c r="F13" s="72">
        <v>25</v>
      </c>
      <c r="G13" s="73" t="s">
        <v>174</v>
      </c>
    </row>
    <row r="14" ht="24" customHeight="1" spans="1:7" x14ac:dyDescent="0.25">
      <c r="A14" s="63">
        <v>7</v>
      </c>
      <c r="B14" s="74" t="s">
        <v>31</v>
      </c>
      <c r="C14" s="65">
        <v>4</v>
      </c>
      <c r="D14" s="78">
        <v>1</v>
      </c>
      <c r="E14" s="75">
        <v>4</v>
      </c>
      <c r="F14" s="76">
        <v>20</v>
      </c>
      <c r="G14" s="77" t="s">
        <v>175</v>
      </c>
    </row>
    <row r="15" ht="24" customHeight="1" spans="1:7" x14ac:dyDescent="0.25">
      <c r="A15" s="59">
        <v>8</v>
      </c>
      <c r="B15" s="69" t="s">
        <v>32</v>
      </c>
      <c r="C15" s="61">
        <v>4</v>
      </c>
      <c r="D15" s="79">
        <v>3</v>
      </c>
      <c r="E15" s="71">
        <v>12</v>
      </c>
      <c r="F15" s="72">
        <v>20</v>
      </c>
      <c r="G15" s="73" t="s">
        <v>176</v>
      </c>
    </row>
    <row r="16" ht="24" customHeight="1" spans="1:7" x14ac:dyDescent="0.25">
      <c r="A16" s="63">
        <v>9</v>
      </c>
      <c r="B16" s="74" t="s">
        <v>33</v>
      </c>
      <c r="C16" s="65">
        <v>5</v>
      </c>
      <c r="D16" s="70">
        <v>4</v>
      </c>
      <c r="E16" s="75">
        <v>20</v>
      </c>
      <c r="F16" s="76">
        <v>25</v>
      </c>
      <c r="G16" s="77" t="s">
        <v>177</v>
      </c>
    </row>
    <row r="17" ht="24" customHeight="1" spans="1:7" x14ac:dyDescent="0.25">
      <c r="A17" s="59">
        <v>10</v>
      </c>
      <c r="B17" s="69" t="s">
        <v>34</v>
      </c>
      <c r="C17" s="61">
        <v>3</v>
      </c>
      <c r="D17" s="70">
        <v>5</v>
      </c>
      <c r="E17" s="71">
        <v>15</v>
      </c>
      <c r="F17" s="72">
        <v>15</v>
      </c>
      <c r="G17" s="73" t="s">
        <v>178</v>
      </c>
    </row>
    <row r="18" ht="20" customHeight="1" spans="1:7" x14ac:dyDescent="0.25">
      <c r="A18" s="8" t="s">
        <v>75</v>
      </c>
      <c r="B18" s="8"/>
      <c r="C18" s="8"/>
      <c r="D18" s="8"/>
      <c r="E18" s="8"/>
      <c r="F18" s="8"/>
      <c r="G18" s="8"/>
    </row>
    <row r="19" ht="24" customHeight="1" spans="1:7" x14ac:dyDescent="0.25">
      <c r="A19" s="59">
        <v>11</v>
      </c>
      <c r="B19" s="69" t="s">
        <v>36</v>
      </c>
      <c r="C19" s="61">
        <v>5</v>
      </c>
      <c r="D19" s="70">
        <v>4</v>
      </c>
      <c r="E19" s="71">
        <v>20</v>
      </c>
      <c r="F19" s="72">
        <v>25</v>
      </c>
      <c r="G19" s="73" t="s">
        <v>179</v>
      </c>
    </row>
    <row r="20" ht="24" customHeight="1" spans="1:7" x14ac:dyDescent="0.25">
      <c r="A20" s="63">
        <v>12</v>
      </c>
      <c r="B20" s="74" t="s">
        <v>37</v>
      </c>
      <c r="C20" s="65">
        <v>4</v>
      </c>
      <c r="D20" s="70">
        <v>5</v>
      </c>
      <c r="E20" s="75">
        <v>20</v>
      </c>
      <c r="F20" s="76">
        <v>20</v>
      </c>
      <c r="G20" s="77" t="s">
        <v>180</v>
      </c>
    </row>
    <row r="21" ht="24" customHeight="1" spans="1:7" x14ac:dyDescent="0.25">
      <c r="A21" s="59">
        <v>13</v>
      </c>
      <c r="B21" s="69" t="s">
        <v>38</v>
      </c>
      <c r="C21" s="61">
        <v>4</v>
      </c>
      <c r="D21" s="80">
        <v>0</v>
      </c>
      <c r="E21" s="71">
        <v>0</v>
      </c>
      <c r="F21" s="72">
        <v>0</v>
      </c>
      <c r="G21" s="73" t="s">
        <v>181</v>
      </c>
    </row>
    <row r="22" ht="24" customHeight="1" spans="1:7" x14ac:dyDescent="0.25">
      <c r="A22" s="63">
        <v>14</v>
      </c>
      <c r="B22" s="74" t="s">
        <v>39</v>
      </c>
      <c r="C22" s="65">
        <v>3</v>
      </c>
      <c r="D22" s="70">
        <v>4</v>
      </c>
      <c r="E22" s="75">
        <v>12</v>
      </c>
      <c r="F22" s="76">
        <v>15</v>
      </c>
      <c r="G22" s="77" t="s">
        <v>182</v>
      </c>
    </row>
    <row r="23" ht="24" customHeight="1" spans="1:7" x14ac:dyDescent="0.25">
      <c r="A23" s="59">
        <v>15</v>
      </c>
      <c r="B23" s="69" t="s">
        <v>40</v>
      </c>
      <c r="C23" s="61">
        <v>4</v>
      </c>
      <c r="D23" s="70">
        <v>5</v>
      </c>
      <c r="E23" s="71">
        <v>20</v>
      </c>
      <c r="F23" s="72">
        <v>20</v>
      </c>
      <c r="G23" s="73" t="s">
        <v>183</v>
      </c>
    </row>
    <row r="24" ht="20" customHeight="1" spans="1:7" x14ac:dyDescent="0.25">
      <c r="A24" s="8" t="s">
        <v>77</v>
      </c>
      <c r="B24" s="8"/>
      <c r="C24" s="8"/>
      <c r="D24" s="8"/>
      <c r="E24" s="8"/>
      <c r="F24" s="8"/>
      <c r="G24" s="8"/>
    </row>
    <row r="25" ht="24" customHeight="1" spans="1:7" x14ac:dyDescent="0.25">
      <c r="A25" s="59">
        <v>16</v>
      </c>
      <c r="B25" s="69" t="s">
        <v>42</v>
      </c>
      <c r="C25" s="61">
        <v>4</v>
      </c>
      <c r="D25" s="70">
        <v>4</v>
      </c>
      <c r="E25" s="71">
        <v>16</v>
      </c>
      <c r="F25" s="72">
        <v>20</v>
      </c>
      <c r="G25" s="73" t="s">
        <v>184</v>
      </c>
    </row>
    <row r="26" ht="24" customHeight="1" spans="1:7" x14ac:dyDescent="0.25">
      <c r="A26" s="63">
        <v>17</v>
      </c>
      <c r="B26" s="74" t="s">
        <v>43</v>
      </c>
      <c r="C26" s="65">
        <v>5</v>
      </c>
      <c r="D26" s="70">
        <v>4</v>
      </c>
      <c r="E26" s="75">
        <v>20</v>
      </c>
      <c r="F26" s="76">
        <v>25</v>
      </c>
      <c r="G26" s="77" t="s">
        <v>185</v>
      </c>
    </row>
    <row r="27" ht="24" customHeight="1" spans="1:7" x14ac:dyDescent="0.25">
      <c r="A27" s="59">
        <v>18</v>
      </c>
      <c r="B27" s="69" t="s">
        <v>44</v>
      </c>
      <c r="C27" s="61">
        <v>5</v>
      </c>
      <c r="D27" s="70">
        <v>5</v>
      </c>
      <c r="E27" s="71">
        <v>25</v>
      </c>
      <c r="F27" s="72">
        <v>25</v>
      </c>
      <c r="G27" s="73" t="s">
        <v>186</v>
      </c>
    </row>
    <row r="28" ht="24" customHeight="1" spans="1:7" x14ac:dyDescent="0.25">
      <c r="A28" s="63">
        <v>19</v>
      </c>
      <c r="B28" s="74" t="s">
        <v>45</v>
      </c>
      <c r="C28" s="65">
        <v>4</v>
      </c>
      <c r="D28" s="70">
        <v>4</v>
      </c>
      <c r="E28" s="75">
        <v>16</v>
      </c>
      <c r="F28" s="76">
        <v>20</v>
      </c>
      <c r="G28" s="77" t="s">
        <v>187</v>
      </c>
    </row>
    <row r="29" ht="24" customHeight="1" spans="1:7" x14ac:dyDescent="0.25">
      <c r="A29" s="59">
        <v>20</v>
      </c>
      <c r="B29" s="69" t="s">
        <v>46</v>
      </c>
      <c r="C29" s="61">
        <v>3</v>
      </c>
      <c r="D29" s="78">
        <v>2</v>
      </c>
      <c r="E29" s="71">
        <v>6</v>
      </c>
      <c r="F29" s="72">
        <v>15</v>
      </c>
      <c r="G29" s="73" t="s">
        <v>188</v>
      </c>
    </row>
    <row r="30" ht="20" customHeight="1" spans="1:7" x14ac:dyDescent="0.25">
      <c r="A30" s="8" t="s">
        <v>79</v>
      </c>
      <c r="B30" s="8"/>
      <c r="C30" s="8"/>
      <c r="D30" s="8"/>
      <c r="E30" s="8"/>
      <c r="F30" s="8"/>
      <c r="G30" s="8"/>
    </row>
    <row r="31" ht="24" customHeight="1" spans="1:7" x14ac:dyDescent="0.25">
      <c r="A31" s="59">
        <v>21</v>
      </c>
      <c r="B31" s="69" t="s">
        <v>48</v>
      </c>
      <c r="C31" s="61">
        <v>4</v>
      </c>
      <c r="D31" s="70">
        <v>5</v>
      </c>
      <c r="E31" s="71">
        <v>20</v>
      </c>
      <c r="F31" s="72">
        <v>20</v>
      </c>
      <c r="G31" s="73" t="s">
        <v>189</v>
      </c>
    </row>
    <row r="32" ht="24" customHeight="1" spans="1:7" x14ac:dyDescent="0.25">
      <c r="A32" s="63">
        <v>22</v>
      </c>
      <c r="B32" s="74" t="s">
        <v>49</v>
      </c>
      <c r="C32" s="65">
        <v>4</v>
      </c>
      <c r="D32" s="70">
        <v>4</v>
      </c>
      <c r="E32" s="75">
        <v>16</v>
      </c>
      <c r="F32" s="76">
        <v>20</v>
      </c>
      <c r="G32" s="77" t="s">
        <v>190</v>
      </c>
    </row>
    <row r="33" ht="24" customHeight="1" spans="1:7" x14ac:dyDescent="0.25">
      <c r="A33" s="59">
        <v>23</v>
      </c>
      <c r="B33" s="69" t="s">
        <v>50</v>
      </c>
      <c r="C33" s="61">
        <v>5</v>
      </c>
      <c r="D33" s="70">
        <v>4</v>
      </c>
      <c r="E33" s="71">
        <v>20</v>
      </c>
      <c r="F33" s="72">
        <v>25</v>
      </c>
      <c r="G33" s="73" t="s">
        <v>191</v>
      </c>
    </row>
    <row r="34" ht="24" customHeight="1" spans="1:7" x14ac:dyDescent="0.25">
      <c r="A34" s="63">
        <v>24</v>
      </c>
      <c r="B34" s="74" t="s">
        <v>51</v>
      </c>
      <c r="C34" s="65">
        <v>3</v>
      </c>
      <c r="D34" s="70">
        <v>4</v>
      </c>
      <c r="E34" s="75">
        <v>12</v>
      </c>
      <c r="F34" s="76">
        <v>15</v>
      </c>
      <c r="G34" s="77" t="s">
        <v>192</v>
      </c>
    </row>
    <row r="35" ht="24" customHeight="1" spans="1:7" x14ac:dyDescent="0.25">
      <c r="A35" s="59">
        <v>25</v>
      </c>
      <c r="B35" s="69" t="s">
        <v>52</v>
      </c>
      <c r="C35" s="61">
        <v>4</v>
      </c>
      <c r="D35" s="70">
        <v>5</v>
      </c>
      <c r="E35" s="71">
        <v>20</v>
      </c>
      <c r="F35" s="72">
        <v>20</v>
      </c>
      <c r="G35" s="73" t="s">
        <v>193</v>
      </c>
    </row>
    <row r="37" ht="30" customHeight="1" spans="1:7" x14ac:dyDescent="0.25">
      <c r="A37" s="21" t="s">
        <v>194</v>
      </c>
      <c r="B37" s="21"/>
      <c r="C37" s="21"/>
      <c r="D37" s="21"/>
      <c r="E37" s="81">
        <v>406</v>
      </c>
      <c r="F37" s="82">
        <v>490</v>
      </c>
      <c r="G37" s="81" t="s">
        <v>195</v>
      </c>
    </row>
    <row r="38" ht="40" customHeight="1" spans="1:7" x14ac:dyDescent="0.25">
      <c r="A38" s="83" t="s">
        <v>196</v>
      </c>
      <c r="B38" s="83"/>
      <c r="C38" s="83"/>
      <c r="D38" s="83"/>
      <c r="E38" s="83"/>
      <c r="F38" s="83"/>
      <c r="G38" s="83"/>
    </row>
    <row r="40" ht="60" customHeight="1" spans="1:7" x14ac:dyDescent="0.25">
      <c r="A40" s="84" t="s">
        <v>197</v>
      </c>
      <c r="B40" s="84"/>
      <c r="C40" s="84"/>
      <c r="D40" s="84"/>
      <c r="E40" s="84"/>
      <c r="F40" s="84"/>
      <c r="G40" s="84"/>
    </row>
    <row r="42" spans="1:7" x14ac:dyDescent="0.25">
      <c r="A42" s="29" t="s">
        <v>60</v>
      </c>
      <c r="B42" s="29"/>
      <c r="C42" s="29"/>
      <c r="D42" s="29"/>
      <c r="E42" s="29"/>
      <c r="F42" s="29"/>
      <c r="G42" s="29"/>
    </row>
  </sheetData>
  <mergeCells count="11">
    <mergeCell ref="A1:G1"/>
    <mergeCell ref="A3:G3"/>
    <mergeCell ref="A6:G6"/>
    <mergeCell ref="A12:G12"/>
    <mergeCell ref="A18:G18"/>
    <mergeCell ref="A24:G24"/>
    <mergeCell ref="A30:G30"/>
    <mergeCell ref="A37:D37"/>
    <mergeCell ref="A38:G38"/>
    <mergeCell ref="A40:G40"/>
    <mergeCell ref="A42:G42"/>
  </mergeCells>
  <pageMargins left="0.4" right="0.4" top="0.6" bottom="0.6"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Decision Matrix</vt:lpstr>
      <vt:lpstr>Summary</vt:lpstr>
      <vt:lpstr>Scoring Guide</vt:lpstr>
      <vt:lpstr>Instructions</vt:lpstr>
      <vt:lpstr>Worked Example</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Bid / No-Bid Decision Matrix</dc:title>
  <dc:subject>Federal contract bid / no-bid decision framework</dc:subject>
  <dc:description/>
  <cp:keywords/>
  <cp:category/>
  <cp:lastModifiedBy>CapturePilot</cp:lastModifiedBy>
  <dcterms:created xsi:type="dcterms:W3CDTF">2026-06-05T21:29:12Z</dcterms:created>
  <dcterms:modified xsi:type="dcterms:W3CDTF">2026-06-05T21:29:12Z</dcterms:modified>
</cp:coreProperties>
</file>