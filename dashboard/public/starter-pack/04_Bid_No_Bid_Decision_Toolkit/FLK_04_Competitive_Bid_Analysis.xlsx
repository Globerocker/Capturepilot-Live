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7500" firstSheet="0" activeTab="0"/>
  </bookViews>
  <sheets>
    <sheet sheetId="1" name="Instructions" state="visible" r:id="rId4"/>
    <sheet sheetId="2" name="Setup" state="visible" r:id="rId5"/>
    <sheet sheetId="3" name="Profiles" state="visible" r:id="rId6"/>
    <sheet sheetId="4" name="Scoring" state="visible" r:id="rId7"/>
    <sheet sheetId="5" name="SWOT" state="visible" r:id="rId8"/>
    <sheet sheetId="6" name="Summary" state="visible" r:id="rId9"/>
    <sheet sheetId="7" name="Help" state="visible" r:id="rId10"/>
  </sheets>
  <definedNames>
    <definedName name="OppName">Setup!$C$5</definedName>
    <definedName name="SolNum">Setup!$C$6</definedName>
    <definedName name="Agency">Setup!$C$7</definedName>
    <definedName name="NaicsCode">Setup!$C$8</definedName>
    <definedName name="DueDate">Setup!$C$9</definedName>
    <definedName name="OppValue">Setup!$C$10</definedName>
    <definedName name="YourCo">Setup!$C$11</definedName>
    <definedName name="YourPrice">Setup!$C$12</definedName>
    <definedName name="SetAside">Setup!$C$13</definedName>
    <definedName name="ContractType">Setup!$C$14</definedName>
    <definedName name="Selection">Setup!$C$15</definedName>
    <definedName name="Incumbent">Setup!$C$16</definedName>
    <definedName name="TotalYou">Scoring!$E$21</definedName>
    <definedName name="TotalC1">Scoring!$G$21</definedName>
    <definedName name="TotalC2">Scoring!$I$21</definedName>
    <definedName name="TotalC3">Scoring!$K$21</definedName>
    <definedName name="TotalC4">Scoring!$M$21</definedName>
    <definedName name="WeightTotal">Scoring!$C$21</definedName>
  </definedNames>
  <calcPr calcId="171027"/>
</workbook>
</file>

<file path=xl/sharedStrings.xml><?xml version="1.0" encoding="utf-8"?>
<sst xmlns="http://schemas.openxmlformats.org/spreadsheetml/2006/main" count="165" uniqueCount="132">
  <si>
    <t>COMPETITIVE BID ANALYSIS — HOW TO USE</t>
  </si>
  <si>
    <t>Know your competition before you write a single proposal word. Built for owners with a contract due in six months and zero government experience.</t>
  </si>
  <si>
    <t>1. Setup</t>
  </si>
  <si>
    <t>Open Setup tab. Type the opportunity name, solicitation number, due date, your company name, and your bid price estimate. Everything else flows from these.</t>
  </si>
  <si>
    <t>2. Profiles</t>
  </si>
  <si>
    <t>Open Profiles tab. List up to 5 competitors. Fill the rows you actually know — leave blanks alone, don't guess. Source: SAM.gov entity search, USASpending.gov, the contractor's LinkedIn page, prior award notices.</t>
  </si>
  <si>
    <t>3. Scoring</t>
  </si>
  <si>
    <t>Open Scoring tab. The RFP's Section M lists evaluation factors with weights. Type each factor and its weight (weights must sum to 100). Rate each competitor 1-10 on every factor. Be honest about your own score — wishful thinking loses bids.</t>
  </si>
  <si>
    <t>4. SWOT</t>
  </si>
  <si>
    <t>Open SWOT tab for the top two threats. One column per competitor. Strengths and weaknesses go in the top half; opportunities and threats (your counter-moves) below.</t>
  </si>
  <si>
    <t>5. Summary</t>
  </si>
  <si>
    <t>Open Summary tab. Read the win-probability line, the score gap, and the recommended action. If the gap is negative on more than two factors, rework your approach before you write a word.</t>
  </si>
  <si>
    <t>Operator note (Andre): I built this because the first time we boarded a federal RFP, we treated it like a commercial pitch. We lost. The team that won had run this exact analysis four weeks earlier and already knew where they were beating us on Past Performance. Run it cold, not warm.</t>
  </si>
  <si>
    <t>OPPORTUNITY SETUP</t>
  </si>
  <si>
    <t>Fill these fields once. The other tabs read from here.</t>
  </si>
  <si>
    <t>Opportunity Name</t>
  </si>
  <si>
    <t>e.g. Janitorial Services — Fort Bragg</t>
  </si>
  <si>
    <t>Solicitation Number</t>
  </si>
  <si>
    <t>e.g. W912DY-26-R-0007</t>
  </si>
  <si>
    <t>Agency / Buying Office</t>
  </si>
  <si>
    <t>e.g. U.S. Army Corps of Engineers</t>
  </si>
  <si>
    <t>NAICS Code</t>
  </si>
  <si>
    <t>e.g. 561720</t>
  </si>
  <si>
    <t>Due Date</t>
  </si>
  <si>
    <t>YYYY-MM-DD</t>
  </si>
  <si>
    <t>Estimated Contract Value (USD)</t>
  </si>
  <si>
    <t>e.g. 4500000</t>
  </si>
  <si>
    <t>Your Company Name</t>
  </si>
  <si>
    <t>e.g. Acme Federal Services LLC</t>
  </si>
  <si>
    <t>Your Bid Price (USD)</t>
  </si>
  <si>
    <t>e.g. 4200000</t>
  </si>
  <si>
    <t>Set-Aside Type</t>
  </si>
  <si>
    <t/>
  </si>
  <si>
    <t>Contract Type</t>
  </si>
  <si>
    <t>Source Selection Method</t>
  </si>
  <si>
    <t>Incumbent on This Contract</t>
  </si>
  <si>
    <t>e.g. ServPro Federal Group</t>
  </si>
  <si>
    <t>Tip: Section L of the RFP tells you what to submit. Section M tells you how they will score you. Both belong here before you start the Scoring tab.</t>
  </si>
  <si>
    <t>COMPETITOR PROFILES</t>
  </si>
  <si>
    <t>One column per competitor. Skip rows you don't know yet — better to leave blank than to guess.</t>
  </si>
  <si>
    <t>PROFILE FIELD</t>
  </si>
  <si>
    <t>YOUR COMPANY</t>
  </si>
  <si>
    <t>COMPETITOR 1</t>
  </si>
  <si>
    <t>COMPETITOR 2</t>
  </si>
  <si>
    <t>COMPETITOR 3</t>
  </si>
  <si>
    <t>COMPETITOR 4</t>
  </si>
  <si>
    <t>Company Name</t>
  </si>
  <si>
    <t>UEI / CAGE Code</t>
  </si>
  <si>
    <t>Business Size</t>
  </si>
  <si>
    <t>Revenue (annual est.)</t>
  </si>
  <si>
    <t>Employee Count (est.)</t>
  </si>
  <si>
    <t>Primary NAICS Code</t>
  </si>
  <si>
    <t>Set-Aside Certifications</t>
  </si>
  <si>
    <t>Active GSA Schedules / IDIQs</t>
  </si>
  <si>
    <t>Incumbent on This Contract?</t>
  </si>
  <si>
    <t>Relationship with KO / PM</t>
  </si>
  <si>
    <t>Recent Agency Awards (LTM)</t>
  </si>
  <si>
    <t>USASpending LTM ($)</t>
  </si>
  <si>
    <t>Key Personnel / Clearances</t>
  </si>
  <si>
    <t>Likely Teaming Partners</t>
  </si>
  <si>
    <t>Technical Strengths</t>
  </si>
  <si>
    <t>Known Weaknesses / Past Protests</t>
  </si>
  <si>
    <t>Likely Pricing Approach</t>
  </si>
  <si>
    <t>Will They Bid?</t>
  </si>
  <si>
    <t>Threat Level</t>
  </si>
  <si>
    <t>Your Edge vs This Competitor</t>
  </si>
  <si>
    <t>EVALUATION SCORING — RFP SECTION M FACTORS</t>
  </si>
  <si>
    <t>Type each factor from Section M and its weight. Rate every bidder 1-10. Weighted = weight × rating. Watch the gap.</t>
  </si>
  <si>
    <t>Scoring scale: 10 = clear winner on this factor, 7 = solid, 5 = average, 3 = weak, 1 = serious gap. Weights should total 100. The Summary tab will flag if they don't.</t>
  </si>
  <si>
    <t>Bidder →</t>
  </si>
  <si>
    <t>#</t>
  </si>
  <si>
    <t>EVALUATION FACTOR</t>
  </si>
  <si>
    <t>WEIGHT (%)</t>
  </si>
  <si>
    <t xml:space="preserve">SCORE
(1-10)</t>
  </si>
  <si>
    <t>WTD</t>
  </si>
  <si>
    <t>Technical Approach / Methodology</t>
  </si>
  <si>
    <t>Management Approach / Key Personnel</t>
  </si>
  <si>
    <t>Past Performance (relevance &amp; quality)</t>
  </si>
  <si>
    <t>Small Business Utilization / Subcontracting</t>
  </si>
  <si>
    <t>Price / Cost Reasonableness</t>
  </si>
  <si>
    <t>Transition Plan</t>
  </si>
  <si>
    <t>Quality Control / QASP Response</t>
  </si>
  <si>
    <t>Security &amp; Compliance Posture</t>
  </si>
  <si>
    <t>TOTAL WEIGHTED SCORE</t>
  </si>
  <si>
    <t>TOTAL →</t>
  </si>
  <si>
    <t>Weights must total 100%</t>
  </si>
  <si>
    <t>SWOT — TOP TWO COMPETITIVE THREATS</t>
  </si>
  <si>
    <t>One column per competitor. Pull facts from the Profiles tab. Be specific: name people, contracts, dollar amounts.</t>
  </si>
  <si>
    <t>STRENGTHS — what they do better</t>
  </si>
  <si>
    <t>1.</t>
  </si>
  <si>
    <t>2.</t>
  </si>
  <si>
    <t>3.</t>
  </si>
  <si>
    <t>4.</t>
  </si>
  <si>
    <t>5.</t>
  </si>
  <si>
    <t>WEAKNESSES — gaps the evaluator might notice</t>
  </si>
  <si>
    <t>OPPORTUNITIES — evaluation factors that favor your approach</t>
  </si>
  <si>
    <t>THREATS — how they out-score you, and your counter-move</t>
  </si>
  <si>
    <t>COMPETITIVE POSITION — SUMMARY</t>
  </si>
  <si>
    <t>BIDDER</t>
  </si>
  <si>
    <t>TOTAL WTD SCORE</t>
  </si>
  <si>
    <t>GAP vs YOU</t>
  </si>
  <si>
    <t>WILL BID?</t>
  </si>
  <si>
    <t>THREAT</t>
  </si>
  <si>
    <t>YOUR EDGE</t>
  </si>
  <si>
    <t>—</t>
  </si>
  <si>
    <t>WIN-PROBABILITY MODEL</t>
  </si>
  <si>
    <t>Highest competitor weighted score</t>
  </si>
  <si>
    <t>Your lead (or deficit) in score points</t>
  </si>
  <si>
    <t>Estimated PWin (rough)</t>
  </si>
  <si>
    <t>PRICE POSITION</t>
  </si>
  <si>
    <t>Your bid vs. estimated contract value</t>
  </si>
  <si>
    <t>Pricing call</t>
  </si>
  <si>
    <t>RECOMMENDED ACTION</t>
  </si>
  <si>
    <t>CapturePilot Federal Lead Kit  ·  capturepilot.com  ·  04 Bid/No-Bid Decision Toolkit</t>
  </si>
  <si>
    <t>HELP — EXAMPLES &amp; SOURCES</t>
  </si>
  <si>
    <t>Where the numbers come from, and what good answers look like.</t>
  </si>
  <si>
    <t>Where do I find competitors?</t>
  </si>
  <si>
    <t>Three places. (1) SAM.gov entity search — filter by your NAICS and the agency's state. (2) USASpending.gov — search prior awards on the same NAICS and agency, then look at "Recipient Name". (3) The award notice for the prior contract — it names the incumbent.</t>
  </si>
  <si>
    <t>How do I estimate revenue?</t>
  </si>
  <si>
    <t>For private firms, LinkedIn lists employee count — multiply by $150,000 to $200,000 per head for services work. For prior federal awards, USASpending.gov shows lifetime obligations. Round generously and note the source in the cell.</t>
  </si>
  <si>
    <t>What weight should each factor get?</t>
  </si>
  <si>
    <t>Read the RFP's Section M. Most federal RFPs spell out the weight ("Technical: 40 points, Past Performance: 30, Price: 30"). Convert to percentages: 40/30/30 becomes 0.40/0.30/0.30. If Section M is vague, default to: Technical 35%, Management 15%, Past Performance 25%, Small Business 10%, Price 15%.</t>
  </si>
  <si>
    <t>Example — Past Performance score</t>
  </si>
  <si>
    <t>A 10 means three highly relevant federal contracts over $1M in the last 3 years, all rated Exceptional. A 5 means one relevant contract or two adjacent ones. A 1 means commercial-only work or no documented references.</t>
  </si>
  <si>
    <t>Example — Technical Approach score</t>
  </si>
  <si>
    <t>A 10 means a named, proven methodology with metrics, a clear staffing plan, and a transition strategy. A 5 means a generic approach without specifics. A 1 means the proposer is learning the work on the customer's dime.</t>
  </si>
  <si>
    <t>Example — Past Protest weakness</t>
  </si>
  <si>
    <t>"GAO sustained protest 2024 on similar contract — staffing assumptions challenged". Public source: gao.gov/products/b-422xxx — every protest decision is published. Search the competitor's name. Free.</t>
  </si>
  <si>
    <t>What does the PWin estimate mean?</t>
  </si>
  <si>
    <t>It's a rough heuristic — your lead in weighted points, normalized against the highest competitor, scaled into a 5%-95% probability band. Treat 60%+ as "bid hard", 30-60% as "bid with caution", under 30% as a no-bid candidate. This is a directional tool, not a guarantee.</t>
  </si>
  <si>
    <t>What if the weights don't total 100%?</t>
  </si>
  <si>
    <t>The Scoring tab shows a warning under the totals row. The PWin and Recommendation will still calculate, but the comparison is biased. Fix the weights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</si>
</sst>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quot;$&quot;#,##0"/>
    <numFmt numFmtId="166" formatCode="+0.00;-0.00;0"/>
    <numFmt numFmtId="167" formatCode="0.0%"/>
  </numFmts>
  <fonts count="15" x14ac:knownFonts="1">
    <font>
      <color theme="1"/>
      <family val="2"/>
      <scheme val="minor"/>
      <sz val="11"/>
      <name val="Calibri"/>
    </font>
    <font>
      <b/>
      <color rgb="FFFFFFFF"/>
      <sz val="20"/>
      <name val="Calibri"/>
    </font>
    <font>
      <i/>
      <color rgb="FF334155"/>
      <sz val="11"/>
      <name val="Calibri"/>
    </font>
    <font>
      <b/>
      <color rgb="FFFFFFFF"/>
      <sz val="12"/>
      <name val="Calibri"/>
    </font>
    <font>
      <color rgb="FF0F172A"/>
      <sz val="10"/>
      <name val="Calibri"/>
    </font>
    <font>
      <i/>
      <color rgb="FF334155"/>
      <sz val="10"/>
      <name val="Calibri"/>
    </font>
    <font>
      <b/>
      <color rgb="FF0F172A"/>
      <sz val="10"/>
      <name val="Calibri"/>
    </font>
    <font>
      <i/>
      <color rgb="FF334155"/>
      <sz val="9"/>
      <name val="Calibri"/>
    </font>
    <font>
      <b/>
      <color rgb="FFFFFFFF"/>
      <sz val="10"/>
      <name val="Calibri"/>
    </font>
    <font>
      <color rgb="FF0F172A"/>
      <sz val="10"/>
      <name val="Consolas"/>
    </font>
    <font>
      <b/>
      <color rgb="FF334155"/>
      <sz val="10"/>
      <name val="Calibri"/>
    </font>
    <font>
      <b/>
      <color rgb="FFFFFFFF"/>
      <sz val="11"/>
      <name val="Calibri"/>
    </font>
    <font>
      <b/>
      <color rgb="FF0F172A"/>
      <sz val="11"/>
      <name val="Calibri"/>
    </font>
    <font>
      <color rgb="FF334155"/>
      <sz val="10"/>
      <name val="Calibri"/>
    </font>
    <font>
      <b/>
      <color rgb="FFFFFFFF"/>
      <sz val="13"/>
      <name val="Calibri"/>
    </font>
  </fonts>
  <fills count="17">
    <fill>
      <patternFill patternType="none"/>
    </fill>
    <fill>
      <patternFill patternType="gray125"/>
    </fill>
    <fill>
      <patternFill patternType="solid">
        <fgColor rgb="FF047857"/>
      </patternFill>
    </fill>
    <fill>
      <patternFill patternType="solid">
        <fgColor rgb="FF10B981"/>
      </patternFill>
    </fill>
    <fill>
      <patternFill patternType="solid">
        <fgColor rgb="FFF8FAFC"/>
      </patternFill>
    </fill>
    <fill>
      <patternFill patternType="solid">
        <fgColor rgb="FFF1F5F9"/>
      </patternFill>
    </fill>
    <fill>
      <patternFill patternType="solid">
        <fgColor rgb="FFFFFFFF"/>
      </patternFill>
    </fill>
    <fill>
      <patternFill patternType="solid">
        <fgColor rgb="FF0F172A"/>
      </patternFill>
    </fill>
    <fill>
      <patternFill patternType="solid">
        <fgColor rgb="FFEFF6FF"/>
      </patternFill>
    </fill>
    <fill>
      <patternFill patternType="solid">
        <fgColor rgb="FFE2E8F0"/>
      </patternFill>
    </fill>
    <fill>
      <patternFill patternType="solid">
        <fgColor rgb="FF16A34A"/>
      </patternFill>
    </fill>
    <fill>
      <patternFill patternType="solid">
        <fgColor rgb="FFDCFCE7"/>
      </patternFill>
    </fill>
    <fill>
      <patternFill patternType="solid">
        <fgColor rgb="FFDC2626"/>
      </patternFill>
    </fill>
    <fill>
      <patternFill patternType="solid">
        <fgColor rgb="FFFEE2E2"/>
      </patternFill>
    </fill>
    <fill>
      <patternFill patternType="solid">
        <fgColor rgb="FFD1FAE5"/>
      </patternFill>
    </fill>
    <fill>
      <patternFill patternType="solid">
        <fgColor rgb="FFF59E0B"/>
      </patternFill>
    </fill>
    <fill>
      <patternFill patternType="solid">
        <fgColor rgb="FFFEF3C7"/>
      </patternFill>
    </fill>
  </fills>
  <borders count="4">
    <border>
      <left/>
      <right/>
      <top/>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047857"/>
      </left>
      <right style="thin">
        <color rgb="FF047857"/>
      </right>
      <top style="thin">
        <color rgb="FF047857"/>
      </top>
      <bottom style="thin">
        <color rgb="FF047857"/>
      </bottom>
      <diagonal/>
    </border>
  </borders>
  <cellStyleXfs count="1">
    <xf numFmtId="0" fontId="0" fillId="0" borderId="0"/>
  </cellStyleXfs>
  <cellXfs count="46">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4" borderId="1" xfId="0" applyFont="1" applyFill="1" applyBorder="1" applyAlignment="1">
      <alignment horizontal="left" vertical="top" wrapText="1" indent="1"/>
    </xf>
    <xf numFmtId="0" fontId="5" fillId="5" borderId="1" xfId="0" applyFont="1" applyFill="1" applyBorder="1" applyAlignment="1">
      <alignment horizontal="left" vertical="top" wrapText="1" indent="1"/>
    </xf>
    <xf numFmtId="0" fontId="6" fillId="5" borderId="1" xfId="0" applyFont="1" applyFill="1" applyBorder="1" applyAlignment="1">
      <alignment horizontal="left" vertical="center" wrapText="1" indent="1"/>
    </xf>
    <xf numFmtId="0" fontId="4" fillId="6" borderId="1" xfId="0" applyFont="1" applyFill="1" applyBorder="1" applyAlignment="1">
      <alignment horizontal="left" vertical="center" wrapText="1" indent="1"/>
    </xf>
    <xf numFmtId="0" fontId="7" fillId="0" borderId="0" xfId="0" applyFont="1" applyAlignment="1">
      <alignment horizontal="left" vertical="center" indent="1"/>
    </xf>
    <xf numFmtId="164" fontId="4" fillId="6" borderId="1" xfId="0" applyNumberFormat="1" applyFont="1" applyFill="1" applyBorder="1" applyAlignment="1">
      <alignment horizontal="left" vertical="center" wrapText="1" indent="1"/>
    </xf>
    <xf numFmtId="165" fontId="4" fillId="6" borderId="1" xfId="0" applyNumberFormat="1" applyFont="1" applyFill="1" applyBorder="1" applyAlignment="1">
      <alignment horizontal="left" vertical="center" wrapText="1" indent="1"/>
    </xf>
    <xf numFmtId="0" fontId="7" fillId="4" borderId="1" xfId="0" applyFont="1" applyFill="1" applyBorder="1" applyAlignment="1">
      <alignment horizontal="left" vertical="top" wrapText="1" indent="1"/>
    </xf>
    <xf numFmtId="0" fontId="3" fillId="7" borderId="2" xfId="0" applyFont="1" applyFill="1" applyBorder="1" applyAlignment="1">
      <alignment horizontal="left" vertical="center" indent="1"/>
    </xf>
    <xf numFmtId="0" fontId="8" fillId="3" borderId="3" xfId="0" applyFont="1" applyFill="1" applyBorder="1" applyAlignment="1">
      <alignment horizontal="center" vertical="center" wrapText="1"/>
    </xf>
    <xf numFmtId="165" fontId="4" fillId="6" borderId="1" xfId="0" applyNumberFormat="1" applyFont="1" applyFill="1" applyBorder="1" applyAlignment="1">
      <alignment horizontal="right" vertical="center" wrapText="1" indent="1"/>
    </xf>
    <xf numFmtId="3" fontId="4" fillId="6" borderId="1" xfId="0" applyNumberFormat="1" applyFont="1" applyFill="1" applyBorder="1" applyAlignment="1">
      <alignment horizontal="right" vertical="center" wrapText="1" indent="1"/>
    </xf>
    <xf numFmtId="0" fontId="9" fillId="6" borderId="1" xfId="0" applyFont="1" applyFill="1" applyBorder="1" applyAlignment="1">
      <alignment horizontal="left" vertical="center" indent="1"/>
    </xf>
    <xf numFmtId="0" fontId="7" fillId="4" borderId="1" xfId="0" applyFont="1" applyFill="1" applyBorder="1" applyAlignment="1">
      <alignment horizontal="left" vertical="center" wrapText="1" indent="1"/>
    </xf>
    <xf numFmtId="0" fontId="6" fillId="5" borderId="1" xfId="0" applyFont="1" applyFill="1" applyBorder="1" applyAlignment="1">
      <alignment horizontal="center" vertical="center" wrapText="1"/>
    </xf>
    <xf numFmtId="0" fontId="10" fillId="4" borderId="1" xfId="0" applyFont="1" applyFill="1" applyBorder="1" applyAlignment="1">
      <alignment horizontal="center" vertical="center"/>
    </xf>
    <xf numFmtId="9" fontId="4" fillId="6" borderId="1" xfId="0" applyNumberFormat="1" applyFont="1" applyFill="1" applyBorder="1" applyAlignment="1">
      <alignment horizontal="center" vertical="center"/>
    </xf>
    <xf numFmtId="1" fontId="4" fillId="6" borderId="1" xfId="0" applyNumberFormat="1" applyFont="1" applyFill="1" applyBorder="1" applyAlignment="1">
      <alignment horizontal="center" vertical="center"/>
    </xf>
    <xf numFmtId="2" fontId="6" fillId="8" borderId="1" xfId="0" applyNumberFormat="1" applyFont="1" applyFill="1" applyBorder="1" applyAlignment="1">
      <alignment horizontal="center" vertical="center"/>
    </xf>
    <xf numFmtId="9" fontId="6" fillId="9" borderId="1" xfId="0" applyNumberFormat="1" applyFont="1" applyFill="1" applyBorder="1" applyAlignment="1">
      <alignment horizontal="center" vertical="center"/>
    </xf>
    <xf numFmtId="0" fontId="10" fillId="5" borderId="1" xfId="0" applyFont="1" applyFill="1" applyBorder="1" applyAlignment="1">
      <alignment horizontal="right" vertical="center"/>
    </xf>
    <xf numFmtId="2" fontId="11" fillId="3" borderId="1" xfId="0" applyNumberFormat="1" applyFont="1" applyFill="1" applyBorder="1" applyAlignment="1">
      <alignment horizontal="center" vertical="center"/>
    </xf>
    <xf numFmtId="0" fontId="7" fillId="0" borderId="0" xfId="0" applyFont="1" applyAlignment="1">
      <alignment horizontal="right" vertical="center" indent="1"/>
    </xf>
    <xf numFmtId="0" fontId="6" fillId="4" borderId="1" xfId="0" applyFont="1" applyFill="1" applyBorder="1" applyAlignment="1">
      <alignment horizontal="center" vertical="center"/>
    </xf>
    <xf numFmtId="0" fontId="11" fillId="10" borderId="0" xfId="0" applyFont="1" applyFill="1" applyAlignment="1">
      <alignment horizontal="left" vertical="center" indent="1"/>
    </xf>
    <xf numFmtId="0" fontId="10" fillId="11" borderId="1" xfId="0" applyFont="1" applyFill="1" applyBorder="1" applyAlignment="1">
      <alignment horizontal="left" vertical="center" indent="1"/>
    </xf>
    <xf numFmtId="0" fontId="11" fillId="12" borderId="0" xfId="0" applyFont="1" applyFill="1" applyAlignment="1">
      <alignment horizontal="left" vertical="center" indent="1"/>
    </xf>
    <xf numFmtId="0" fontId="10" fillId="13" borderId="1" xfId="0" applyFont="1" applyFill="1" applyBorder="1" applyAlignment="1">
      <alignment horizontal="left" vertical="center" indent="1"/>
    </xf>
    <xf numFmtId="0" fontId="11" fillId="2" borderId="0" xfId="0" applyFont="1" applyFill="1" applyAlignment="1">
      <alignment horizontal="left" vertical="center" indent="1"/>
    </xf>
    <xf numFmtId="0" fontId="10" fillId="14" borderId="1" xfId="0" applyFont="1" applyFill="1" applyBorder="1" applyAlignment="1">
      <alignment horizontal="left" vertical="center" indent="1"/>
    </xf>
    <xf numFmtId="0" fontId="11" fillId="15" borderId="0" xfId="0" applyFont="1" applyFill="1" applyAlignment="1">
      <alignment horizontal="left" vertical="center" indent="1"/>
    </xf>
    <xf numFmtId="0" fontId="10" fillId="16" borderId="1" xfId="0" applyFont="1" applyFill="1" applyBorder="1" applyAlignment="1">
      <alignment horizontal="left" vertical="center" indent="1"/>
    </xf>
    <xf numFmtId="2" fontId="12" fillId="8" borderId="1" xfId="0" applyNumberFormat="1" applyFont="1" applyFill="1" applyBorder="1" applyAlignment="1">
      <alignment horizontal="center" vertical="center"/>
    </xf>
    <xf numFmtId="2" fontId="13" fillId="4"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166" fontId="6" fillId="8" borderId="1"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9" fontId="14" fillId="3" borderId="1" xfId="0" applyNumberFormat="1" applyFont="1" applyFill="1" applyBorder="1" applyAlignment="1">
      <alignment horizontal="center" vertical="center"/>
    </xf>
    <xf numFmtId="167" fontId="6" fillId="8" borderId="1" xfId="0" applyNumberFormat="1" applyFont="1" applyFill="1" applyBorder="1" applyAlignment="1">
      <alignment horizontal="center" vertical="center"/>
    </xf>
    <xf numFmtId="0" fontId="6" fillId="4" borderId="1" xfId="0" applyFont="1" applyFill="1" applyBorder="1" applyAlignment="1">
      <alignment horizontal="left" vertical="center" wrapText="1" indent="1"/>
    </xf>
    <xf numFmtId="0" fontId="12" fillId="4" borderId="1" xfId="0" applyFont="1" applyFill="1" applyBorder="1" applyAlignment="1">
      <alignment horizontal="left" vertical="center" wrapText="1" indent="1"/>
    </xf>
    <xf numFmtId="0" fontId="7" fillId="0" borderId="0" xfId="0" applyFont="1" applyAlignment="1">
      <alignment horizontal="center" vertical="center"/>
    </xf>
  </cellXfs>
  <cellStyles count="1">
    <cellStyle name="Normal" xfId="0" builtinId="0"/>
  </cellStyles>
  <dxfs count="13">
    <dxf>
      <font>
        <b/>
        <color rgb="FFDC2626"/>
      </font>
      <fill>
        <patternFill patternType="solid">
          <fgColor rgb="FFFEE2E2"/>
        </patternFill>
      </fill>
    </dxf>
    <dxf>
      <font>
        <b/>
        <color rgb="FFF59E0B"/>
      </font>
      <fill>
        <patternFill patternType="solid">
          <fgColor rgb="FFFEF3C7"/>
        </patternFill>
      </fill>
    </dxf>
    <dxf>
      <font>
        <b/>
        <color rgb="FF16A34A"/>
      </font>
      <fill>
        <patternFill patternType="solid">
          <fgColor rgb="FFDCFCE7"/>
        </patternFill>
      </fill>
    </dxf>
    <dxf>
      <font>
        <b/>
        <color rgb="FFDC2626"/>
      </font>
      <fill>
        <patternFill patternType="solid">
          <fgColor rgb="FFFEE2E2"/>
        </patternFill>
      </fill>
    </dxf>
    <dxf>
      <font>
        <b/>
        <color rgb="FF16A34A"/>
      </font>
      <fill>
        <patternFill patternType="solid">
          <fgColor rgb="FFDCFCE7"/>
        </patternFill>
      </fill>
    </dxf>
    <dxf>
      <font>
        <b/>
        <color rgb="FF16A34A"/>
      </font>
      <fill>
        <patternFill patternType="solid">
          <fgColor rgb="FFDCFCE7"/>
        </patternFill>
      </fill>
    </dxf>
    <dxf>
      <font>
        <b/>
        <color rgb="FFDC2626"/>
      </font>
      <fill>
        <patternFill patternType="solid">
          <fgColor rgb="FFFEE2E2"/>
        </patternFill>
      </fill>
    </dxf>
    <dxf>
      <font>
        <b/>
        <color rgb="FFDC2626"/>
      </font>
      <fill>
        <patternFill patternType="solid">
          <fgColor rgb="FFFEE2E2"/>
        </patternFill>
      </fill>
    </dxf>
    <dxf>
      <font>
        <b/>
        <color rgb="FFF59E0B"/>
      </font>
      <fill>
        <patternFill patternType="solid">
          <fgColor rgb="FFFEF3C7"/>
        </patternFill>
      </fill>
    </dxf>
    <dxf>
      <font>
        <b/>
        <color rgb="FF16A34A"/>
      </font>
      <fill>
        <patternFill patternType="solid">
          <fgColor rgb="FFDCFCE7"/>
        </patternFill>
      </fill>
    </dxf>
    <dxf>
      <font>
        <b/>
        <color rgb="FFFFFFFF"/>
      </font>
      <fill>
        <patternFill patternType="solid">
          <fgColor rgb="FF16A34A"/>
        </patternFill>
      </fill>
    </dxf>
    <dxf>
      <font>
        <b/>
        <color rgb="FFFFFFFF"/>
      </font>
      <fill>
        <patternFill patternType="solid">
          <fgColor rgb="FFF59E0B"/>
        </patternFill>
      </fill>
    </dxf>
    <dxf>
      <font>
        <b/>
        <color rgb="FFFFFFFF"/>
      </font>
      <fill>
        <patternFill patternType="solid">
          <fgColor rgb="FFDC262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20"/>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28" customWidth="1"/>
    <col min="3" max="3" width="68" customWidth="1"/>
  </cols>
  <sheetData>
    <row r="2" ht="38" customHeight="1" spans="2:3" x14ac:dyDescent="0.25">
      <c r="B2" s="1" t="s">
        <v>0</v>
      </c>
      <c r="C2"/>
    </row>
    <row r="3" ht="26" customHeight="1" spans="2:3" x14ac:dyDescent="0.25">
      <c r="B3" s="2" t="s">
        <v>1</v>
      </c>
      <c r="C3"/>
    </row>
    <row r="5" ht="22" customHeight="1" spans="2:3" x14ac:dyDescent="0.25">
      <c r="B5" s="3" t="s">
        <v>2</v>
      </c>
      <c r="C5"/>
    </row>
    <row r="6" ht="46" customHeight="1" spans="2:3" x14ac:dyDescent="0.25">
      <c r="B6" s="4" t="s">
        <v>3</v>
      </c>
      <c r="C6"/>
    </row>
    <row r="8" ht="22" customHeight="1" spans="2:3" x14ac:dyDescent="0.25">
      <c r="B8" s="3" t="s">
        <v>4</v>
      </c>
      <c r="C8"/>
    </row>
    <row r="9" ht="46" customHeight="1" spans="2:3" x14ac:dyDescent="0.25">
      <c r="B9" s="4" t="s">
        <v>5</v>
      </c>
      <c r="C9"/>
    </row>
    <row r="11" ht="22" customHeight="1" spans="2:3" x14ac:dyDescent="0.25">
      <c r="B11" s="3" t="s">
        <v>6</v>
      </c>
      <c r="C11"/>
    </row>
    <row r="12" ht="46" customHeight="1" spans="2:3" x14ac:dyDescent="0.25">
      <c r="B12" s="4" t="s">
        <v>7</v>
      </c>
      <c r="C12"/>
    </row>
    <row r="14" ht="22" customHeight="1" spans="2:3" x14ac:dyDescent="0.25">
      <c r="B14" s="3" t="s">
        <v>8</v>
      </c>
      <c r="C14"/>
    </row>
    <row r="15" ht="46" customHeight="1" spans="2:3" x14ac:dyDescent="0.25">
      <c r="B15" s="4" t="s">
        <v>9</v>
      </c>
      <c r="C15"/>
    </row>
    <row r="17" ht="22" customHeight="1" spans="2:3" x14ac:dyDescent="0.25">
      <c r="B17" s="3" t="s">
        <v>10</v>
      </c>
      <c r="C17"/>
    </row>
    <row r="18" ht="46" customHeight="1" spans="2:3" x14ac:dyDescent="0.25">
      <c r="B18" s="4" t="s">
        <v>11</v>
      </c>
      <c r="C18"/>
    </row>
    <row r="20" ht="70" customHeight="1" spans="2:3" x14ac:dyDescent="0.25">
      <c r="B20" s="5" t="s">
        <v>12</v>
      </c>
      <c r="C20"/>
    </row>
  </sheetData>
  <mergeCells count="13">
    <mergeCell ref="B2:C2"/>
    <mergeCell ref="B3:C3"/>
    <mergeCell ref="B5:C5"/>
    <mergeCell ref="B6:C6"/>
    <mergeCell ref="B8:C8"/>
    <mergeCell ref="B9:C9"/>
    <mergeCell ref="B11:C11"/>
    <mergeCell ref="B12:C12"/>
    <mergeCell ref="B14:C14"/>
    <mergeCell ref="B15:C15"/>
    <mergeCell ref="B17:C17"/>
    <mergeCell ref="B18:C18"/>
    <mergeCell ref="B20:C20"/>
  </mergeCell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D18"/>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2" customWidth="1"/>
    <col min="3" max="3" width="44" customWidth="1"/>
    <col min="4" max="4" width="24" customWidth="1"/>
  </cols>
  <sheetData>
    <row r="2" ht="36" customHeight="1" spans="2:4" x14ac:dyDescent="0.25">
      <c r="B2" s="1" t="s">
        <v>13</v>
      </c>
      <c r="C2"/>
      <c r="D2"/>
    </row>
    <row r="3" ht="22" customHeight="1" spans="2:4" x14ac:dyDescent="0.25">
      <c r="B3" s="2" t="s">
        <v>14</v>
      </c>
      <c r="C3"/>
      <c r="D3"/>
    </row>
    <row r="5" ht="24" customHeight="1" spans="2:4" x14ac:dyDescent="0.25">
      <c r="B5" s="6" t="s">
        <v>15</v>
      </c>
      <c r="C5" s="7"/>
      <c r="D5" s="8" t="s">
        <v>16</v>
      </c>
    </row>
    <row r="6" ht="24" customHeight="1" spans="2:4" x14ac:dyDescent="0.25">
      <c r="B6" s="6" t="s">
        <v>17</v>
      </c>
      <c r="C6" s="7"/>
      <c r="D6" s="8" t="s">
        <v>18</v>
      </c>
    </row>
    <row r="7" ht="24" customHeight="1" spans="2:4" x14ac:dyDescent="0.25">
      <c r="B7" s="6" t="s">
        <v>19</v>
      </c>
      <c r="C7" s="7"/>
      <c r="D7" s="8" t="s">
        <v>20</v>
      </c>
    </row>
    <row r="8" ht="24" customHeight="1" spans="2:4" x14ac:dyDescent="0.25">
      <c r="B8" s="6" t="s">
        <v>21</v>
      </c>
      <c r="C8" s="7"/>
      <c r="D8" s="8" t="s">
        <v>22</v>
      </c>
    </row>
    <row r="9" ht="24" customHeight="1" spans="2:4" x14ac:dyDescent="0.25">
      <c r="B9" s="6" t="s">
        <v>23</v>
      </c>
      <c r="C9" s="9"/>
      <c r="D9" s="8" t="s">
        <v>24</v>
      </c>
    </row>
    <row r="10" ht="24" customHeight="1" spans="2:4" x14ac:dyDescent="0.25">
      <c r="B10" s="6" t="s">
        <v>25</v>
      </c>
      <c r="C10" s="10"/>
      <c r="D10" s="8" t="s">
        <v>26</v>
      </c>
    </row>
    <row r="11" ht="24" customHeight="1" spans="2:4" x14ac:dyDescent="0.25">
      <c r="B11" s="6" t="s">
        <v>27</v>
      </c>
      <c r="C11" s="7"/>
      <c r="D11" s="8" t="s">
        <v>28</v>
      </c>
    </row>
    <row r="12" ht="24" customHeight="1" spans="2:4" x14ac:dyDescent="0.25">
      <c r="B12" s="6" t="s">
        <v>29</v>
      </c>
      <c r="C12" s="10"/>
      <c r="D12" s="8" t="s">
        <v>30</v>
      </c>
    </row>
    <row r="13" ht="24" customHeight="1" spans="2:4" x14ac:dyDescent="0.25">
      <c r="B13" s="6" t="s">
        <v>31</v>
      </c>
      <c r="C13" s="7"/>
      <c r="D13" s="8" t="s">
        <v>32</v>
      </c>
    </row>
    <row r="14" ht="24" customHeight="1" spans="2:4" x14ac:dyDescent="0.25">
      <c r="B14" s="6" t="s">
        <v>33</v>
      </c>
      <c r="C14" s="7"/>
      <c r="D14" s="8" t="s">
        <v>32</v>
      </c>
    </row>
    <row r="15" ht="24" customHeight="1" spans="2:4" x14ac:dyDescent="0.25">
      <c r="B15" s="6" t="s">
        <v>34</v>
      </c>
      <c r="C15" s="7"/>
      <c r="D15" s="8" t="s">
        <v>32</v>
      </c>
    </row>
    <row r="16" ht="24" customHeight="1" spans="2:4" x14ac:dyDescent="0.25">
      <c r="B16" s="6" t="s">
        <v>35</v>
      </c>
      <c r="C16" s="7"/>
      <c r="D16" s="8" t="s">
        <v>36</v>
      </c>
    </row>
    <row r="18" ht="36" customHeight="1" spans="2:4" x14ac:dyDescent="0.25">
      <c r="B18" s="11" t="s">
        <v>37</v>
      </c>
      <c r="C18"/>
      <c r="D18"/>
    </row>
  </sheetData>
  <mergeCells count="3">
    <mergeCell ref="B2:D2"/>
    <mergeCell ref="B3:D3"/>
    <mergeCell ref="B18:D18"/>
  </mergeCells>
  <dataValidations count="3">
    <dataValidation type="list" allowBlank="1" showErrorMessage="1" errorTitle="Pick a value" error="Use the dropdown — keeps the rest of the workbook consistent." sqref="C13">
      <formula1>"Full and Open,Small Business,8(a),HUBZone,SDVOSB,WOSB,EDWOSB,Total Small Business,Other"</formula1>
    </dataValidation>
    <dataValidation type="list" allowBlank="1" showErrorMessage="1" errorTitle="Pick a value" error="Use the dropdown — keeps the rest of the workbook consistent." sqref="C14">
      <formula1>"FFP — Firm Fixed Price,T&amp;M — Time &amp; Materials,CPFF — Cost Plus Fixed Fee,CPIF — Cost Plus Incentive,IDIQ — Indefinite Delivery,BPA — Blanket Purchase,Other"</formula1>
    </dataValidation>
    <dataValidation type="list" allowBlank="1" showErrorMessage="1" errorTitle="Pick a value" error="Use the dropdown — keeps the rest of the workbook consistent." sqref="C15">
      <formula1>"LPTA — Lowest Price Technically Acceptable,Best Value Tradeoff,Highest Technically Rated, Fair &amp; Reasonable,Other"</formula1>
    </dataValidation>
  </dataValidation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workbookViewId="0" showGridLines="0">
      <pane xSplit="1" ySplit="5" topLeftCell="B6" activePane="bottomRight" state="frozen"/>
      <selection pane="bottomRight"/>
    </sheetView>
  </sheetViews>
  <sheetFormatPr defaultRowHeight="15" outlineLevelRow="0" outlineLevelCol="0" x14ac:dyDescent="55"/>
  <cols>
    <col min="1" max="1" width="32" customWidth="1"/>
    <col min="2" max="6" width="22" customWidth="1"/>
  </cols>
  <sheetData>
    <row r="2" ht="36" customHeight="1" spans="1:6" x14ac:dyDescent="0.25">
      <c r="A2" s="1" t="s">
        <v>38</v>
      </c>
      <c r="B2"/>
      <c r="C2"/>
      <c r="D2"/>
      <c r="E2"/>
      <c r="F2"/>
    </row>
    <row r="3" ht="22" customHeight="1" spans="1:6" x14ac:dyDescent="0.25">
      <c r="A3" s="2" t="s">
        <v>39</v>
      </c>
      <c r="B3"/>
      <c r="C3"/>
      <c r="D3"/>
      <c r="E3"/>
      <c r="F3"/>
    </row>
    <row r="5" ht="28" customHeight="1" spans="1:6" x14ac:dyDescent="0.25">
      <c r="A5" s="12" t="s">
        <v>40</v>
      </c>
      <c r="B5" s="13" t="s">
        <v>41</v>
      </c>
      <c r="C5" s="13" t="s">
        <v>42</v>
      </c>
      <c r="D5" s="13" t="s">
        <v>43</v>
      </c>
      <c r="E5" s="13" t="s">
        <v>44</v>
      </c>
      <c r="F5" s="13" t="s">
        <v>45</v>
      </c>
    </row>
    <row r="6" ht="22" customHeight="1" spans="1:6" x14ac:dyDescent="0.25">
      <c r="A6" s="6" t="s">
        <v>46</v>
      </c>
      <c r="B6" s="7">
        <f>IF(YourCo="","(see Setup tab)",YourCo)</f>
      </c>
      <c r="C6" s="7"/>
      <c r="D6" s="7"/>
      <c r="E6" s="7"/>
      <c r="F6" s="7"/>
    </row>
    <row r="7" ht="22" customHeight="1" spans="1:6" x14ac:dyDescent="0.25">
      <c r="A7" s="6" t="s">
        <v>47</v>
      </c>
      <c r="B7" s="7"/>
      <c r="C7" s="7"/>
      <c r="D7" s="7"/>
      <c r="E7" s="7"/>
      <c r="F7" s="7"/>
    </row>
    <row r="8" ht="22" customHeight="1" spans="1:6" x14ac:dyDescent="0.25">
      <c r="A8" s="6" t="s">
        <v>48</v>
      </c>
      <c r="B8" s="7"/>
      <c r="C8" s="7"/>
      <c r="D8" s="7"/>
      <c r="E8" s="7"/>
      <c r="F8" s="7"/>
    </row>
    <row r="9" ht="22" customHeight="1" spans="1:6" x14ac:dyDescent="0.25">
      <c r="A9" s="6" t="s">
        <v>49</v>
      </c>
      <c r="B9" s="14"/>
      <c r="C9" s="14"/>
      <c r="D9" s="14"/>
      <c r="E9" s="14"/>
      <c r="F9" s="14"/>
    </row>
    <row r="10" ht="22" customHeight="1" spans="1:6" x14ac:dyDescent="0.25">
      <c r="A10" s="6" t="s">
        <v>50</v>
      </c>
      <c r="B10" s="15"/>
      <c r="C10" s="15"/>
      <c r="D10" s="15"/>
      <c r="E10" s="15"/>
      <c r="F10" s="15"/>
    </row>
    <row r="11" ht="22" customHeight="1" spans="1:6" x14ac:dyDescent="0.25">
      <c r="A11" s="6" t="s">
        <v>51</v>
      </c>
      <c r="B11" s="16"/>
      <c r="C11" s="16"/>
      <c r="D11" s="16"/>
      <c r="E11" s="16"/>
      <c r="F11" s="16"/>
    </row>
    <row r="12" ht="22" customHeight="1" spans="1:6" x14ac:dyDescent="0.25">
      <c r="A12" s="6" t="s">
        <v>52</v>
      </c>
      <c r="B12" s="7"/>
      <c r="C12" s="7"/>
      <c r="D12" s="7"/>
      <c r="E12" s="7"/>
      <c r="F12" s="7"/>
    </row>
    <row r="13" ht="22" customHeight="1" spans="1:6" x14ac:dyDescent="0.25">
      <c r="A13" s="6" t="s">
        <v>53</v>
      </c>
      <c r="B13" s="7"/>
      <c r="C13" s="7"/>
      <c r="D13" s="7"/>
      <c r="E13" s="7"/>
      <c r="F13" s="7"/>
    </row>
    <row r="14" ht="22" customHeight="1" spans="1:6" x14ac:dyDescent="0.25">
      <c r="A14" s="6" t="s">
        <v>54</v>
      </c>
      <c r="B14" s="7"/>
      <c r="C14" s="7"/>
      <c r="D14" s="7"/>
      <c r="E14" s="7"/>
      <c r="F14" s="7"/>
    </row>
    <row r="15" ht="22" customHeight="1" spans="1:6" x14ac:dyDescent="0.25">
      <c r="A15" s="6" t="s">
        <v>55</v>
      </c>
      <c r="B15" s="7"/>
      <c r="C15" s="7"/>
      <c r="D15" s="7"/>
      <c r="E15" s="7"/>
      <c r="F15" s="7"/>
    </row>
    <row r="16" ht="22" customHeight="1" spans="1:6" x14ac:dyDescent="0.25">
      <c r="A16" s="6" t="s">
        <v>56</v>
      </c>
      <c r="B16" s="7"/>
      <c r="C16" s="7"/>
      <c r="D16" s="7"/>
      <c r="E16" s="7"/>
      <c r="F16" s="7"/>
    </row>
    <row r="17" ht="22" customHeight="1" spans="1:6" x14ac:dyDescent="0.25">
      <c r="A17" s="6" t="s">
        <v>57</v>
      </c>
      <c r="B17" s="14"/>
      <c r="C17" s="14"/>
      <c r="D17" s="14"/>
      <c r="E17" s="14"/>
      <c r="F17" s="14"/>
    </row>
    <row r="18" ht="22" customHeight="1" spans="1:6" x14ac:dyDescent="0.25">
      <c r="A18" s="6" t="s">
        <v>58</v>
      </c>
      <c r="B18" s="7"/>
      <c r="C18" s="7"/>
      <c r="D18" s="7"/>
      <c r="E18" s="7"/>
      <c r="F18" s="7"/>
    </row>
    <row r="19" ht="22" customHeight="1" spans="1:6" x14ac:dyDescent="0.25">
      <c r="A19" s="6" t="s">
        <v>59</v>
      </c>
      <c r="B19" s="7"/>
      <c r="C19" s="7"/>
      <c r="D19" s="7"/>
      <c r="E19" s="7"/>
      <c r="F19" s="7"/>
    </row>
    <row r="20" ht="22" customHeight="1" spans="1:6" x14ac:dyDescent="0.25">
      <c r="A20" s="6" t="s">
        <v>60</v>
      </c>
      <c r="B20" s="7"/>
      <c r="C20" s="7"/>
      <c r="D20" s="7"/>
      <c r="E20" s="7"/>
      <c r="F20" s="7"/>
    </row>
    <row r="21" ht="22" customHeight="1" spans="1:6" x14ac:dyDescent="0.25">
      <c r="A21" s="6" t="s">
        <v>61</v>
      </c>
      <c r="B21" s="7"/>
      <c r="C21" s="7"/>
      <c r="D21" s="7"/>
      <c r="E21" s="7"/>
      <c r="F21" s="7"/>
    </row>
    <row r="22" ht="22" customHeight="1" spans="1:6" x14ac:dyDescent="0.25">
      <c r="A22" s="6" t="s">
        <v>62</v>
      </c>
      <c r="B22" s="7"/>
      <c r="C22" s="7"/>
      <c r="D22" s="7"/>
      <c r="E22" s="7"/>
      <c r="F22" s="7"/>
    </row>
    <row r="23" ht="22" customHeight="1" spans="1:6" x14ac:dyDescent="0.25">
      <c r="A23" s="6" t="s">
        <v>63</v>
      </c>
      <c r="B23" s="7"/>
      <c r="C23" s="7"/>
      <c r="D23" s="7"/>
      <c r="E23" s="7"/>
      <c r="F23" s="7"/>
    </row>
    <row r="24" ht="22" customHeight="1" spans="1:6" x14ac:dyDescent="0.25">
      <c r="A24" s="6" t="s">
        <v>64</v>
      </c>
      <c r="B24" s="7"/>
      <c r="C24" s="7"/>
      <c r="D24" s="7"/>
      <c r="E24" s="7"/>
      <c r="F24" s="7"/>
    </row>
    <row r="25" ht="22" customHeight="1" spans="1:6" x14ac:dyDescent="0.25">
      <c r="A25" s="6" t="s">
        <v>65</v>
      </c>
      <c r="B25" s="7"/>
      <c r="C25" s="7"/>
      <c r="D25" s="7"/>
      <c r="E25" s="7"/>
      <c r="F25" s="7"/>
    </row>
  </sheetData>
  <mergeCells count="2">
    <mergeCell ref="A2:F2"/>
    <mergeCell ref="A3:F3"/>
  </mergeCells>
  <conditionalFormatting sqref="B24:F24">
    <cfRule type="containsText" dxfId="0" priority="1">
      <formula>NOT(ISERROR(SEARCH("HIGH",B24)))</formula>
    </cfRule>
    <cfRule type="containsText" dxfId="1" priority="2">
      <formula>NOT(ISERROR(SEARCH("MEDIUM",B24)))</formula>
    </cfRule>
    <cfRule type="containsText" dxfId="2" priority="3">
      <formula>NOT(ISERROR(SEARCH("LOW",B24)))</formula>
    </cfRule>
  </conditionalFormatting>
  <dataValidations count="6">
    <dataValidation type="list" allowBlank="1" sqref="B14:F14">
      <formula1>"Yes,No,Unknown"</formula1>
    </dataValidation>
    <dataValidation type="list" allowBlank="1" sqref="B15:F15">
      <formula1>"Strong,Some history,Cold,Unknown"</formula1>
    </dataValidation>
    <dataValidation type="list" allowBlank="1" sqref="B22:F22">
      <formula1>"Aggressive — undercut,Market,Premium,LPTA play,Unknown"</formula1>
    </dataValidation>
    <dataValidation type="list" allowBlank="1" sqref="B23:F23">
      <formula1>"Yes,Probably,Unlikely,No,Unknown"</formula1>
    </dataValidation>
    <dataValidation type="list" allowBlank="1" sqref="B24:F24">
      <formula1>"HIGH,MEDIUM,LOW"</formula1>
    </dataValidation>
    <dataValidation type="list" allowBlank="1" sqref="B8:F8">
      <formula1>"Large,Small,Small — 8(a),Small — HUBZone,Small — SDVOSB,Small — WOSB,Small — EDWOSB,Unknown"</formula1>
    </dataValidation>
  </dataValidation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M22"/>
  <sheetViews>
    <sheetView workbookViewId="0" showGridLines="0">
      <pane xSplit="2" ySplit="7" topLeftCell="C8" activePane="bottomRight" state="frozen"/>
      <selection pane="bottomRight"/>
    </sheetView>
  </sheetViews>
  <sheetFormatPr defaultRowHeight="15" outlineLevelRow="0" outlineLevelCol="0" x14ac:dyDescent="55"/>
  <cols>
    <col min="1" max="1" width="5" customWidth="1"/>
    <col min="2" max="2" width="38" customWidth="1"/>
    <col min="3" max="3" width="10" customWidth="1"/>
    <col min="4" max="13" width="11" customWidth="1"/>
  </cols>
  <sheetData>
    <row r="2" ht="36" customHeight="1" spans="1:13" x14ac:dyDescent="0.25">
      <c r="A2" s="1" t="s">
        <v>66</v>
      </c>
      <c r="B2"/>
      <c r="C2"/>
      <c r="D2"/>
      <c r="E2"/>
      <c r="F2"/>
      <c r="G2"/>
      <c r="H2"/>
      <c r="I2"/>
      <c r="J2"/>
      <c r="K2"/>
      <c r="L2"/>
      <c r="M2"/>
    </row>
    <row r="3" ht="22" customHeight="1" spans="1:13" x14ac:dyDescent="0.25">
      <c r="A3" s="2" t="s">
        <v>67</v>
      </c>
      <c r="B3"/>
      <c r="C3"/>
      <c r="D3"/>
      <c r="E3"/>
      <c r="F3"/>
      <c r="G3"/>
      <c r="H3"/>
      <c r="I3"/>
      <c r="J3"/>
      <c r="K3"/>
      <c r="L3"/>
      <c r="M3"/>
    </row>
    <row r="5" ht="32" customHeight="1" spans="1:13" x14ac:dyDescent="0.25">
      <c r="A5" s="17" t="s">
        <v>68</v>
      </c>
      <c r="B5"/>
      <c r="C5"/>
      <c r="D5"/>
      <c r="E5"/>
      <c r="F5"/>
      <c r="G5"/>
      <c r="H5"/>
      <c r="I5"/>
      <c r="J5"/>
      <c r="K5"/>
      <c r="L5"/>
      <c r="M5"/>
    </row>
    <row r="6" ht="24" customHeight="1" spans="1:13" x14ac:dyDescent="0.25">
      <c r="A6" s="6" t="s">
        <v>69</v>
      </c>
      <c r="B6" s="6"/>
      <c r="C6" s="6"/>
      <c r="D6" s="18">
        <f>IF(Profiles!B6="","YOUR CO",Profiles!B6)</f>
      </c>
      <c r="E6"/>
      <c r="F6" s="18">
        <f>IF(Profiles!C6="","COMP 1",Profiles!C6)</f>
      </c>
      <c r="G6"/>
      <c r="H6" s="18">
        <f>IF(Profiles!D6="","COMP 2",Profiles!D6)</f>
      </c>
      <c r="I6"/>
      <c r="J6" s="18">
        <f>IF(Profiles!E6="","COMP 3",Profiles!E6)</f>
      </c>
      <c r="K6"/>
      <c r="L6" s="18">
        <f>IF(Profiles!F6="","COMP 4",Profiles!F6)</f>
      </c>
      <c r="M6"/>
    </row>
    <row r="7" ht="36" customHeight="1" spans="1:13" x14ac:dyDescent="0.25">
      <c r="A7" s="13" t="s">
        <v>70</v>
      </c>
      <c r="B7" s="13" t="s">
        <v>71</v>
      </c>
      <c r="C7" s="13" t="s">
        <v>72</v>
      </c>
      <c r="D7" s="13" t="s">
        <v>73</v>
      </c>
      <c r="E7" s="13" t="s">
        <v>74</v>
      </c>
      <c r="F7" s="13" t="s">
        <v>73</v>
      </c>
      <c r="G7" s="13" t="s">
        <v>74</v>
      </c>
      <c r="H7" s="13" t="s">
        <v>73</v>
      </c>
      <c r="I7" s="13" t="s">
        <v>74</v>
      </c>
      <c r="J7" s="13" t="s">
        <v>73</v>
      </c>
      <c r="K7" s="13" t="s">
        <v>74</v>
      </c>
      <c r="L7" s="13" t="s">
        <v>73</v>
      </c>
      <c r="M7" s="13" t="s">
        <v>74</v>
      </c>
    </row>
    <row r="8" ht="22" customHeight="1" spans="1:13" x14ac:dyDescent="0.25">
      <c r="A8" s="19">
        <v>1</v>
      </c>
      <c r="B8" s="7" t="s">
        <v>75</v>
      </c>
      <c r="C8" s="20"/>
      <c r="D8" s="21"/>
      <c r="E8" s="22">
        <f>IF(OR($C8="",D8=""),"",$C8*D8)</f>
      </c>
      <c r="F8" s="21"/>
      <c r="G8" s="22">
        <f>IF(OR($C8="",F8=""),"",$C8*F8)</f>
      </c>
      <c r="H8" s="21"/>
      <c r="I8" s="22">
        <f>IF(OR($C8="",H8=""),"",$C8*H8)</f>
      </c>
      <c r="J8" s="21"/>
      <c r="K8" s="22">
        <f>IF(OR($C8="",J8=""),"",$C8*J8)</f>
      </c>
      <c r="L8" s="21"/>
      <c r="M8" s="22">
        <f>IF(OR($C8="",L8=""),"",$C8*L8)</f>
      </c>
    </row>
    <row r="9" ht="22" customHeight="1" spans="1:13" x14ac:dyDescent="0.25">
      <c r="A9" s="19">
        <v>2</v>
      </c>
      <c r="B9" s="7" t="s">
        <v>76</v>
      </c>
      <c r="C9" s="20"/>
      <c r="D9" s="21"/>
      <c r="E9" s="22">
        <f>IF(OR($C9="",D9=""),"",$C9*D9)</f>
      </c>
      <c r="F9" s="21"/>
      <c r="G9" s="22">
        <f>IF(OR($C9="",F9=""),"",$C9*F9)</f>
      </c>
      <c r="H9" s="21"/>
      <c r="I9" s="22">
        <f>IF(OR($C9="",H9=""),"",$C9*H9)</f>
      </c>
      <c r="J9" s="21"/>
      <c r="K9" s="22">
        <f>IF(OR($C9="",J9=""),"",$C9*J9)</f>
      </c>
      <c r="L9" s="21"/>
      <c r="M9" s="22">
        <f>IF(OR($C9="",L9=""),"",$C9*L9)</f>
      </c>
    </row>
    <row r="10" ht="22" customHeight="1" spans="1:13" x14ac:dyDescent="0.25">
      <c r="A10" s="19">
        <v>3</v>
      </c>
      <c r="B10" s="7" t="s">
        <v>77</v>
      </c>
      <c r="C10" s="20"/>
      <c r="D10" s="21"/>
      <c r="E10" s="22">
        <f>IF(OR($C10="",D10=""),"",$C10*D10)</f>
      </c>
      <c r="F10" s="21"/>
      <c r="G10" s="22">
        <f>IF(OR($C10="",F10=""),"",$C10*F10)</f>
      </c>
      <c r="H10" s="21"/>
      <c r="I10" s="22">
        <f>IF(OR($C10="",H10=""),"",$C10*H10)</f>
      </c>
      <c r="J10" s="21"/>
      <c r="K10" s="22">
        <f>IF(OR($C10="",J10=""),"",$C10*J10)</f>
      </c>
      <c r="L10" s="21"/>
      <c r="M10" s="22">
        <f>IF(OR($C10="",L10=""),"",$C10*L10)</f>
      </c>
    </row>
    <row r="11" ht="22" customHeight="1" spans="1:13" x14ac:dyDescent="0.25">
      <c r="A11" s="19">
        <v>4</v>
      </c>
      <c r="B11" s="7" t="s">
        <v>78</v>
      </c>
      <c r="C11" s="20"/>
      <c r="D11" s="21"/>
      <c r="E11" s="22">
        <f>IF(OR($C11="",D11=""),"",$C11*D11)</f>
      </c>
      <c r="F11" s="21"/>
      <c r="G11" s="22">
        <f>IF(OR($C11="",F11=""),"",$C11*F11)</f>
      </c>
      <c r="H11" s="21"/>
      <c r="I11" s="22">
        <f>IF(OR($C11="",H11=""),"",$C11*H11)</f>
      </c>
      <c r="J11" s="21"/>
      <c r="K11" s="22">
        <f>IF(OR($C11="",J11=""),"",$C11*J11)</f>
      </c>
      <c r="L11" s="21"/>
      <c r="M11" s="22">
        <f>IF(OR($C11="",L11=""),"",$C11*L11)</f>
      </c>
    </row>
    <row r="12" ht="22" customHeight="1" spans="1:13" x14ac:dyDescent="0.25">
      <c r="A12" s="19">
        <v>5</v>
      </c>
      <c r="B12" s="7" t="s">
        <v>79</v>
      </c>
      <c r="C12" s="20"/>
      <c r="D12" s="21"/>
      <c r="E12" s="22">
        <f>IF(OR($C12="",D12=""),"",$C12*D12)</f>
      </c>
      <c r="F12" s="21"/>
      <c r="G12" s="22">
        <f>IF(OR($C12="",F12=""),"",$C12*F12)</f>
      </c>
      <c r="H12" s="21"/>
      <c r="I12" s="22">
        <f>IF(OR($C12="",H12=""),"",$C12*H12)</f>
      </c>
      <c r="J12" s="21"/>
      <c r="K12" s="22">
        <f>IF(OR($C12="",J12=""),"",$C12*J12)</f>
      </c>
      <c r="L12" s="21"/>
      <c r="M12" s="22">
        <f>IF(OR($C12="",L12=""),"",$C12*L12)</f>
      </c>
    </row>
    <row r="13" ht="22" customHeight="1" spans="1:13" x14ac:dyDescent="0.25">
      <c r="A13" s="19">
        <v>6</v>
      </c>
      <c r="B13" s="7" t="s">
        <v>80</v>
      </c>
      <c r="C13" s="20"/>
      <c r="D13" s="21"/>
      <c r="E13" s="22">
        <f>IF(OR($C13="",D13=""),"",$C13*D13)</f>
      </c>
      <c r="F13" s="21"/>
      <c r="G13" s="22">
        <f>IF(OR($C13="",F13=""),"",$C13*F13)</f>
      </c>
      <c r="H13" s="21"/>
      <c r="I13" s="22">
        <f>IF(OR($C13="",H13=""),"",$C13*H13)</f>
      </c>
      <c r="J13" s="21"/>
      <c r="K13" s="22">
        <f>IF(OR($C13="",J13=""),"",$C13*J13)</f>
      </c>
      <c r="L13" s="21"/>
      <c r="M13" s="22">
        <f>IF(OR($C13="",L13=""),"",$C13*L13)</f>
      </c>
    </row>
    <row r="14" ht="22" customHeight="1" spans="1:13" x14ac:dyDescent="0.25">
      <c r="A14" s="19">
        <v>7</v>
      </c>
      <c r="B14" s="7" t="s">
        <v>81</v>
      </c>
      <c r="C14" s="20"/>
      <c r="D14" s="21"/>
      <c r="E14" s="22">
        <f>IF(OR($C14="",D14=""),"",$C14*D14)</f>
      </c>
      <c r="F14" s="21"/>
      <c r="G14" s="22">
        <f>IF(OR($C14="",F14=""),"",$C14*F14)</f>
      </c>
      <c r="H14" s="21"/>
      <c r="I14" s="22">
        <f>IF(OR($C14="",H14=""),"",$C14*H14)</f>
      </c>
      <c r="J14" s="21"/>
      <c r="K14" s="22">
        <f>IF(OR($C14="",J14=""),"",$C14*J14)</f>
      </c>
      <c r="L14" s="21"/>
      <c r="M14" s="22">
        <f>IF(OR($C14="",L14=""),"",$C14*L14)</f>
      </c>
    </row>
    <row r="15" ht="22" customHeight="1" spans="1:13" x14ac:dyDescent="0.25">
      <c r="A15" s="19">
        <v>8</v>
      </c>
      <c r="B15" s="7" t="s">
        <v>82</v>
      </c>
      <c r="C15" s="20"/>
      <c r="D15" s="21"/>
      <c r="E15" s="22">
        <f>IF(OR($C15="",D15=""),"",$C15*D15)</f>
      </c>
      <c r="F15" s="21"/>
      <c r="G15" s="22">
        <f>IF(OR($C15="",F15=""),"",$C15*F15)</f>
      </c>
      <c r="H15" s="21"/>
      <c r="I15" s="22">
        <f>IF(OR($C15="",H15=""),"",$C15*H15)</f>
      </c>
      <c r="J15" s="21"/>
      <c r="K15" s="22">
        <f>IF(OR($C15="",J15=""),"",$C15*J15)</f>
      </c>
      <c r="L15" s="21"/>
      <c r="M15" s="22">
        <f>IF(OR($C15="",L15=""),"",$C15*L15)</f>
      </c>
    </row>
    <row r="16" ht="22" customHeight="1" spans="1:13" x14ac:dyDescent="0.25">
      <c r="A16" s="19">
        <v>9</v>
      </c>
      <c r="B16" s="7"/>
      <c r="C16" s="20"/>
      <c r="D16" s="21"/>
      <c r="E16" s="22">
        <f>IF(OR($C16="",D16=""),"",$C16*D16)</f>
      </c>
      <c r="F16" s="21"/>
      <c r="G16" s="22">
        <f>IF(OR($C16="",F16=""),"",$C16*F16)</f>
      </c>
      <c r="H16" s="21"/>
      <c r="I16" s="22">
        <f>IF(OR($C16="",H16=""),"",$C16*H16)</f>
      </c>
      <c r="J16" s="21"/>
      <c r="K16" s="22">
        <f>IF(OR($C16="",J16=""),"",$C16*J16)</f>
      </c>
      <c r="L16" s="21"/>
      <c r="M16" s="22">
        <f>IF(OR($C16="",L16=""),"",$C16*L16)</f>
      </c>
    </row>
    <row r="17" ht="22" customHeight="1" spans="1:13" x14ac:dyDescent="0.25">
      <c r="A17" s="19">
        <v>10</v>
      </c>
      <c r="B17" s="7"/>
      <c r="C17" s="20"/>
      <c r="D17" s="21"/>
      <c r="E17" s="22">
        <f>IF(OR($C17="",D17=""),"",$C17*D17)</f>
      </c>
      <c r="F17" s="21"/>
      <c r="G17" s="22">
        <f>IF(OR($C17="",F17=""),"",$C17*F17)</f>
      </c>
      <c r="H17" s="21"/>
      <c r="I17" s="22">
        <f>IF(OR($C17="",H17=""),"",$C17*H17)</f>
      </c>
      <c r="J17" s="21"/>
      <c r="K17" s="22">
        <f>IF(OR($C17="",J17=""),"",$C17*J17)</f>
      </c>
      <c r="L17" s="21"/>
      <c r="M17" s="22">
        <f>IF(OR($C17="",L17=""),"",$C17*L17)</f>
      </c>
    </row>
    <row r="18" ht="22" customHeight="1" spans="1:13" x14ac:dyDescent="0.25">
      <c r="A18" s="19">
        <v>11</v>
      </c>
      <c r="B18" s="7"/>
      <c r="C18" s="20"/>
      <c r="D18" s="21"/>
      <c r="E18" s="22">
        <f>IF(OR($C18="",D18=""),"",$C18*D18)</f>
      </c>
      <c r="F18" s="21"/>
      <c r="G18" s="22">
        <f>IF(OR($C18="",F18=""),"",$C18*F18)</f>
      </c>
      <c r="H18" s="21"/>
      <c r="I18" s="22">
        <f>IF(OR($C18="",H18=""),"",$C18*H18)</f>
      </c>
      <c r="J18" s="21"/>
      <c r="K18" s="22">
        <f>IF(OR($C18="",J18=""),"",$C18*J18)</f>
      </c>
      <c r="L18" s="21"/>
      <c r="M18" s="22">
        <f>IF(OR($C18="",L18=""),"",$C18*L18)</f>
      </c>
    </row>
    <row r="19" ht="22" customHeight="1" spans="1:13" x14ac:dyDescent="0.25">
      <c r="A19" s="19">
        <v>12</v>
      </c>
      <c r="B19" s="7"/>
      <c r="C19" s="20"/>
      <c r="D19" s="21"/>
      <c r="E19" s="22">
        <f>IF(OR($C19="",D19=""),"",$C19*D19)</f>
      </c>
      <c r="F19" s="21"/>
      <c r="G19" s="22">
        <f>IF(OR($C19="",F19=""),"",$C19*F19)</f>
      </c>
      <c r="H19" s="21"/>
      <c r="I19" s="22">
        <f>IF(OR($C19="",H19=""),"",$C19*H19)</f>
      </c>
      <c r="J19" s="21"/>
      <c r="K19" s="22">
        <f>IF(OR($C19="",J19=""),"",$C19*J19)</f>
      </c>
      <c r="L19" s="21"/>
      <c r="M19" s="22">
        <f>IF(OR($C19="",L19=""),"",$C19*L19)</f>
      </c>
    </row>
    <row r="21" ht="28" customHeight="1" spans="1:13" x14ac:dyDescent="0.25">
      <c r="A21" s="12" t="s">
        <v>83</v>
      </c>
      <c r="B21"/>
      <c r="C21" s="23">
        <f>SUM(C8:C19)</f>
      </c>
      <c r="D21" s="24" t="s">
        <v>84</v>
      </c>
      <c r="E21" s="25">
        <f>IFERROR(SUM(E8:E19),0)</f>
      </c>
      <c r="F21" s="24" t="s">
        <v>84</v>
      </c>
      <c r="G21" s="25">
        <f>IFERROR(SUM(G8:G19),0)</f>
      </c>
      <c r="H21" s="24" t="s">
        <v>84</v>
      </c>
      <c r="I21" s="25">
        <f>IFERROR(SUM(I8:I19),0)</f>
      </c>
      <c r="J21" s="24" t="s">
        <v>84</v>
      </c>
      <c r="K21" s="25">
        <f>IFERROR(SUM(K8:K19),0)</f>
      </c>
      <c r="L21" s="24" t="s">
        <v>84</v>
      </c>
      <c r="M21" s="25">
        <f>IFERROR(SUM(M8:M19),0)</f>
      </c>
    </row>
    <row r="22" spans="1:13" x14ac:dyDescent="0.25">
      <c r="A22" s="26" t="s">
        <v>85</v>
      </c>
      <c r="B22"/>
      <c r="D22" s="27">
        <f>IF(ROUND(WeightTotal,4)=1,"OK — weights sum to 100%","WARNING — weights sum to " &amp; TEXT(WeightTotal,"0%") &amp; ". Fix before reading Summary.")</f>
      </c>
      <c r="E22"/>
      <c r="F22"/>
      <c r="G22"/>
      <c r="H22"/>
      <c r="I22"/>
      <c r="J22"/>
      <c r="K22"/>
      <c r="L22"/>
      <c r="M22"/>
    </row>
  </sheetData>
  <mergeCells count="12">
    <mergeCell ref="A2:M2"/>
    <mergeCell ref="A3:M3"/>
    <mergeCell ref="A5:M5"/>
    <mergeCell ref="A6:C6"/>
    <mergeCell ref="D6:E6"/>
    <mergeCell ref="F6:G6"/>
    <mergeCell ref="H6:I6"/>
    <mergeCell ref="J6:K6"/>
    <mergeCell ref="L6:M6"/>
    <mergeCell ref="A21:B21"/>
    <mergeCell ref="A22:B22"/>
    <mergeCell ref="D22:M22"/>
  </mergeCells>
  <conditionalFormatting sqref="G21:M21">
    <cfRule type="cellIs" dxfId="3" priority="1" operator="greaterThan">
      <formula>TotalYou</formula>
    </cfRule>
    <cfRule type="cellIs" dxfId="4" priority="2" operator="lessThan">
      <formula>TotalYou</formula>
    </cfRule>
  </conditionalFormatting>
  <dataValidations count="12">
    <dataValidation type="decimal" showErrorMessage="1" errorTitle="Weight as a percent" error="Enter a value between 0 and 1 (e.g. 0.25 for 25%). Total weights must equal 100%." sqref="C10:C19">
      <formula1>0</formula1>
      <formula2>1</formula2>
    </dataValidation>
    <dataValidation type="decimal" showErrorMessage="1" errorTitle="Weight as a percent" error="Enter a value between 0 and 1 (e.g. 0.25 for 25%). Total weights must equal 100%." sqref="C8:C19">
      <formula1>0</formula1>
      <formula2>1</formula2>
    </dataValidation>
    <dataValidation type="whole" showErrorMessage="1" errorTitle="Score 1-10" error="1 = serious gap, 10 = clear winner. Leave blank if unknown." sqref="D10:D19">
      <formula1>1</formula1>
      <formula2>10</formula2>
    </dataValidation>
    <dataValidation type="whole" showErrorMessage="1" errorTitle="Score 1-10" error="1 = serious gap, 10 = clear winner. Leave blank if unknown." sqref="D8:D19">
      <formula1>1</formula1>
      <formula2>10</formula2>
    </dataValidation>
    <dataValidation type="whole" showErrorMessage="1" errorTitle="Score 1-10" error="1 = serious gap, 10 = clear winner. Leave blank if unknown." sqref="F10:F19">
      <formula1>1</formula1>
      <formula2>10</formula2>
    </dataValidation>
    <dataValidation type="whole" showErrorMessage="1" errorTitle="Score 1-10" error="1 = serious gap, 10 = clear winner. Leave blank if unknown." sqref="F8:F19">
      <formula1>1</formula1>
      <formula2>10</formula2>
    </dataValidation>
    <dataValidation type="whole" showErrorMessage="1" errorTitle="Score 1-10" error="1 = serious gap, 10 = clear winner. Leave blank if unknown." sqref="H10:H19">
      <formula1>1</formula1>
      <formula2>10</formula2>
    </dataValidation>
    <dataValidation type="whole" showErrorMessage="1" errorTitle="Score 1-10" error="1 = serious gap, 10 = clear winner. Leave blank if unknown." sqref="H8:H19">
      <formula1>1</formula1>
      <formula2>10</formula2>
    </dataValidation>
    <dataValidation type="whole" showErrorMessage="1" errorTitle="Score 1-10" error="1 = serious gap, 10 = clear winner. Leave blank if unknown." sqref="J10:J19">
      <formula1>1</formula1>
      <formula2>10</formula2>
    </dataValidation>
    <dataValidation type="whole" showErrorMessage="1" errorTitle="Score 1-10" error="1 = serious gap, 10 = clear winner. Leave blank if unknown." sqref="J8:J19">
      <formula1>1</formula1>
      <formula2>10</formula2>
    </dataValidation>
    <dataValidation type="whole" showErrorMessage="1" errorTitle="Score 1-10" error="1 = serious gap, 10 = clear winner. Leave blank if unknown." sqref="L10:L19">
      <formula1>1</formula1>
      <formula2>10</formula2>
    </dataValidation>
    <dataValidation type="whole" showErrorMessage="1" errorTitle="Score 1-10" error="1 = serious gap, 10 = clear winner. Leave blank if unknown." sqref="L8:L19">
      <formula1>1</formula1>
      <formula2>10</formula2>
    </dataValidation>
  </dataValidation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C32"/>
  <sheetViews>
    <sheetView workbookViewId="0" showGridLines="0">
      <pane ySplit="5" topLeftCell="A6" activePane="bottomLeft" state="frozen"/>
      <selection pane="bottomLeft"/>
    </sheetView>
  </sheetViews>
  <sheetFormatPr defaultRowHeight="15" outlineLevelRow="0" outlineLevelCol="0" x14ac:dyDescent="55"/>
  <cols>
    <col min="1" max="1" width="22" customWidth="1"/>
    <col min="2" max="3" width="38" customWidth="1"/>
  </cols>
  <sheetData>
    <row r="2" ht="36" customHeight="1" spans="1:3" x14ac:dyDescent="0.25">
      <c r="A2" s="1" t="s">
        <v>86</v>
      </c>
      <c r="B2"/>
      <c r="C2"/>
    </row>
    <row r="3" ht="22" customHeight="1" spans="1:3" x14ac:dyDescent="0.25">
      <c r="A3" s="2" t="s">
        <v>87</v>
      </c>
      <c r="B3"/>
      <c r="C3"/>
    </row>
    <row r="5" ht="28" customHeight="1" spans="1:3" x14ac:dyDescent="0.25">
      <c r="A5" s="13" t="s">
        <v>41</v>
      </c>
      <c r="B5" s="13">
        <f>IF(Profiles!C6="","COMPETITOR 1",Profiles!C6)</f>
      </c>
      <c r="C5" s="13">
        <f>IF(Profiles!D6="","COMPETITOR 2",Profiles!D6)</f>
      </c>
    </row>
    <row r="6" ht="22" customHeight="1" spans="1:3" x14ac:dyDescent="0.25">
      <c r="A6" s="28" t="s">
        <v>88</v>
      </c>
      <c r="B6"/>
      <c r="C6"/>
    </row>
    <row r="7" ht="26" customHeight="1" spans="1:3" x14ac:dyDescent="0.25">
      <c r="A7" s="29" t="s">
        <v>89</v>
      </c>
      <c r="B7" s="7"/>
      <c r="C7" s="7"/>
    </row>
    <row r="8" ht="26" customHeight="1" spans="1:3" x14ac:dyDescent="0.25">
      <c r="A8" s="29" t="s">
        <v>90</v>
      </c>
      <c r="B8" s="7"/>
      <c r="C8" s="7"/>
    </row>
    <row r="9" ht="26" customHeight="1" spans="1:3" x14ac:dyDescent="0.25">
      <c r="A9" s="29" t="s">
        <v>91</v>
      </c>
      <c r="B9" s="7"/>
      <c r="C9" s="7"/>
    </row>
    <row r="10" ht="26" customHeight="1" spans="1:3" x14ac:dyDescent="0.25">
      <c r="A10" s="29" t="s">
        <v>92</v>
      </c>
      <c r="B10" s="7"/>
      <c r="C10" s="7"/>
    </row>
    <row r="11" ht="26" customHeight="1" spans="1:3" x14ac:dyDescent="0.25">
      <c r="A11" s="29" t="s">
        <v>93</v>
      </c>
      <c r="B11" s="7"/>
      <c r="C11" s="7"/>
    </row>
    <row r="13" ht="22" customHeight="1" spans="1:3" x14ac:dyDescent="0.25">
      <c r="A13" s="30" t="s">
        <v>94</v>
      </c>
      <c r="B13"/>
      <c r="C13"/>
    </row>
    <row r="14" ht="26" customHeight="1" spans="1:3" x14ac:dyDescent="0.25">
      <c r="A14" s="31" t="s">
        <v>89</v>
      </c>
      <c r="B14" s="7"/>
      <c r="C14" s="7"/>
    </row>
    <row r="15" ht="26" customHeight="1" spans="1:3" x14ac:dyDescent="0.25">
      <c r="A15" s="31" t="s">
        <v>90</v>
      </c>
      <c r="B15" s="7"/>
      <c r="C15" s="7"/>
    </row>
    <row r="16" ht="26" customHeight="1" spans="1:3" x14ac:dyDescent="0.25">
      <c r="A16" s="31" t="s">
        <v>91</v>
      </c>
      <c r="B16" s="7"/>
      <c r="C16" s="7"/>
    </row>
    <row r="17" ht="26" customHeight="1" spans="1:3" x14ac:dyDescent="0.25">
      <c r="A17" s="31" t="s">
        <v>92</v>
      </c>
      <c r="B17" s="7"/>
      <c r="C17" s="7"/>
    </row>
    <row r="18" ht="26" customHeight="1" spans="1:3" x14ac:dyDescent="0.25">
      <c r="A18" s="31" t="s">
        <v>93</v>
      </c>
      <c r="B18" s="7"/>
      <c r="C18" s="7"/>
    </row>
    <row r="20" ht="22" customHeight="1" spans="1:3" x14ac:dyDescent="0.25">
      <c r="A20" s="32" t="s">
        <v>95</v>
      </c>
      <c r="B20"/>
      <c r="C20"/>
    </row>
    <row r="21" ht="26" customHeight="1" spans="1:3" x14ac:dyDescent="0.25">
      <c r="A21" s="33" t="s">
        <v>89</v>
      </c>
      <c r="B21" s="7"/>
      <c r="C21" s="7"/>
    </row>
    <row r="22" ht="26" customHeight="1" spans="1:3" x14ac:dyDescent="0.25">
      <c r="A22" s="33" t="s">
        <v>90</v>
      </c>
      <c r="B22" s="7"/>
      <c r="C22" s="7"/>
    </row>
    <row r="23" ht="26" customHeight="1" spans="1:3" x14ac:dyDescent="0.25">
      <c r="A23" s="33" t="s">
        <v>91</v>
      </c>
      <c r="B23" s="7"/>
      <c r="C23" s="7"/>
    </row>
    <row r="24" ht="26" customHeight="1" spans="1:3" x14ac:dyDescent="0.25">
      <c r="A24" s="33" t="s">
        <v>92</v>
      </c>
      <c r="B24" s="7"/>
      <c r="C24" s="7"/>
    </row>
    <row r="25" ht="26" customHeight="1" spans="1:3" x14ac:dyDescent="0.25">
      <c r="A25" s="33" t="s">
        <v>93</v>
      </c>
      <c r="B25" s="7"/>
      <c r="C25" s="7"/>
    </row>
    <row r="27" ht="22" customHeight="1" spans="1:3" x14ac:dyDescent="0.25">
      <c r="A27" s="34" t="s">
        <v>96</v>
      </c>
      <c r="B27"/>
      <c r="C27"/>
    </row>
    <row r="28" ht="26" customHeight="1" spans="1:3" x14ac:dyDescent="0.25">
      <c r="A28" s="35" t="s">
        <v>89</v>
      </c>
      <c r="B28" s="7"/>
      <c r="C28" s="7"/>
    </row>
    <row r="29" ht="26" customHeight="1" spans="1:3" x14ac:dyDescent="0.25">
      <c r="A29" s="35" t="s">
        <v>90</v>
      </c>
      <c r="B29" s="7"/>
      <c r="C29" s="7"/>
    </row>
    <row r="30" ht="26" customHeight="1" spans="1:3" x14ac:dyDescent="0.25">
      <c r="A30" s="35" t="s">
        <v>91</v>
      </c>
      <c r="B30" s="7"/>
      <c r="C30" s="7"/>
    </row>
    <row r="31" ht="26" customHeight="1" spans="1:3" x14ac:dyDescent="0.25">
      <c r="A31" s="35" t="s">
        <v>92</v>
      </c>
      <c r="B31" s="7"/>
      <c r="C31" s="7"/>
    </row>
    <row r="32" ht="26" customHeight="1" spans="1:3" x14ac:dyDescent="0.25">
      <c r="A32" s="35" t="s">
        <v>93</v>
      </c>
      <c r="B32" s="7"/>
      <c r="C32" s="7"/>
    </row>
  </sheetData>
  <mergeCells count="6">
    <mergeCell ref="A2:C2"/>
    <mergeCell ref="A3:C3"/>
    <mergeCell ref="A6:C6"/>
    <mergeCell ref="A13:C13"/>
    <mergeCell ref="A20:C20"/>
    <mergeCell ref="A27:C27"/>
  </mergeCell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4"/>
  <sheetViews>
    <sheetView workbookViewId="0" showGridLines="0">
      <pane ySplit="4" topLeftCell="A5" activePane="bottomLeft" state="frozen"/>
      <selection pane="bottomLeft"/>
    </sheetView>
  </sheetViews>
  <sheetFormatPr defaultRowHeight="15" outlineLevelRow="0" outlineLevelCol="0" x14ac:dyDescent="55"/>
  <cols>
    <col min="1" max="1" width="32" customWidth="1"/>
    <col min="2" max="6" width="22" customWidth="1"/>
  </cols>
  <sheetData>
    <row r="2" ht="36" customHeight="1" spans="1:6" x14ac:dyDescent="0.25">
      <c r="A2" s="1" t="s">
        <v>97</v>
      </c>
      <c r="B2"/>
      <c r="C2"/>
      <c r="D2"/>
      <c r="E2"/>
      <c r="F2"/>
    </row>
    <row r="3" ht="22" customHeight="1" spans="1:6" x14ac:dyDescent="0.25">
      <c r="A3" s="2">
        <f>IF(OppName="","Add opportunity details on the Setup tab to see this populate.","Opportunity: " &amp; OppName &amp; "   ·   Sol# " &amp; SolNum &amp; "   ·   Due " &amp; IF(DueDate="","TBD",TEXT(DueDate,"yyyy-mm-dd")))</f>
      </c>
      <c r="B3"/>
      <c r="C3"/>
      <c r="D3"/>
      <c r="E3"/>
      <c r="F3"/>
    </row>
    <row r="5" ht="28" customHeight="1" spans="1:6" x14ac:dyDescent="0.25">
      <c r="A5" s="13" t="s">
        <v>98</v>
      </c>
      <c r="B5" s="13" t="s">
        <v>99</v>
      </c>
      <c r="C5" s="13" t="s">
        <v>100</v>
      </c>
      <c r="D5" s="13" t="s">
        <v>101</v>
      </c>
      <c r="E5" s="13" t="s">
        <v>102</v>
      </c>
      <c r="F5" s="13" t="s">
        <v>103</v>
      </c>
    </row>
    <row r="6" ht="24" customHeight="1" spans="1:6" x14ac:dyDescent="0.25">
      <c r="A6" s="6">
        <f>IF(Profiles!B6="","YOUR COMPANY",Profiles!B6)</f>
      </c>
      <c r="B6" s="36">
        <f>TotalYou</f>
      </c>
      <c r="C6" s="37" t="s">
        <v>104</v>
      </c>
      <c r="D6" s="38" t="s">
        <v>104</v>
      </c>
      <c r="E6" s="38" t="s">
        <v>104</v>
      </c>
      <c r="F6" s="38" t="s">
        <v>104</v>
      </c>
    </row>
    <row r="7" ht="24" customHeight="1" spans="1:6" x14ac:dyDescent="0.25">
      <c r="A7" s="6">
        <f>IF(Profiles!C6="","COMPETITOR 1",Profiles!C6)</f>
      </c>
      <c r="B7" s="36">
        <f>TotalC1</f>
      </c>
      <c r="C7" s="39">
        <f>TotalYou - TotalC1</f>
      </c>
      <c r="D7" s="38">
        <f>IF(Profiles!C23="","-",Profiles!C23)</f>
      </c>
      <c r="E7" s="40">
        <f>IF(Profiles!C24="","-",Profiles!C24)</f>
      </c>
      <c r="F7" s="7">
        <f>IF(Profiles!C25="","(add edge note in Profiles)",Profiles!C25)</f>
      </c>
    </row>
    <row r="8" ht="24" customHeight="1" spans="1:6" x14ac:dyDescent="0.25">
      <c r="A8" s="6">
        <f>IF(Profiles!D6="","COMPETITOR 2",Profiles!D6)</f>
      </c>
      <c r="B8" s="36">
        <f>TotalC2</f>
      </c>
      <c r="C8" s="39">
        <f>TotalYou - TotalC2</f>
      </c>
      <c r="D8" s="38">
        <f>IF(Profiles!D23="","-",Profiles!D23)</f>
      </c>
      <c r="E8" s="40">
        <f>IF(Profiles!D24="","-",Profiles!D24)</f>
      </c>
      <c r="F8" s="7">
        <f>IF(Profiles!D25="","(add edge note in Profiles)",Profiles!D25)</f>
      </c>
    </row>
    <row r="9" ht="24" customHeight="1" spans="1:6" x14ac:dyDescent="0.25">
      <c r="A9" s="6">
        <f>IF(Profiles!E6="","COMPETITOR 3",Profiles!E6)</f>
      </c>
      <c r="B9" s="36">
        <f>TotalC3</f>
      </c>
      <c r="C9" s="39">
        <f>TotalYou - TotalC3</f>
      </c>
      <c r="D9" s="38">
        <f>IF(Profiles!E23="","-",Profiles!E23)</f>
      </c>
      <c r="E9" s="40">
        <f>IF(Profiles!E24="","-",Profiles!E24)</f>
      </c>
      <c r="F9" s="7">
        <f>IF(Profiles!E25="","(add edge note in Profiles)",Profiles!E25)</f>
      </c>
    </row>
    <row r="10" ht="24" customHeight="1" spans="1:6" x14ac:dyDescent="0.25">
      <c r="A10" s="6">
        <f>IF(Profiles!F6="","COMPETITOR 4",Profiles!F6)</f>
      </c>
      <c r="B10" s="36">
        <f>TotalC4</f>
      </c>
      <c r="C10" s="39">
        <f>TotalYou - TotalC4</f>
      </c>
      <c r="D10" s="38">
        <f>IF(Profiles!F23="","-",Profiles!F23)</f>
      </c>
      <c r="E10" s="40">
        <f>IF(Profiles!F24="","-",Profiles!F24)</f>
      </c>
      <c r="F10" s="7">
        <f>IF(Profiles!F25="","(add edge note in Profiles)",Profiles!F25)</f>
      </c>
    </row>
    <row r="12" ht="24" customHeight="1" spans="1:6" x14ac:dyDescent="0.25">
      <c r="A12" s="12" t="s">
        <v>105</v>
      </c>
      <c r="B12"/>
      <c r="C12"/>
      <c r="D12"/>
      <c r="E12"/>
      <c r="F12"/>
    </row>
    <row r="13" spans="1:2" x14ac:dyDescent="0.25">
      <c r="A13" s="6" t="s">
        <v>106</v>
      </c>
      <c r="B13" s="22">
        <f>MAX(TotalC1,TotalC2,TotalC3,TotalC4)</f>
      </c>
    </row>
    <row r="14" spans="1:2" x14ac:dyDescent="0.25">
      <c r="A14" s="6" t="s">
        <v>107</v>
      </c>
      <c r="B14" s="39">
        <f>TotalYou - MAX(TotalC1,TotalC2,TotalC3,TotalC4)</f>
      </c>
    </row>
    <row r="15" spans="1:2" x14ac:dyDescent="0.25">
      <c r="A15" s="6" t="s">
        <v>108</v>
      </c>
      <c r="B15" s="41">
        <f>IF(OR(TotalYou=0,MAX(TotalC1,TotalC2,TotalC3,TotalC4)=0),"Fill Scoring tab first",ROUND(MAX(0.05,MIN(0.95,0.5+(TotalYou-MAX(TotalC1,TotalC2,TotalC3,TotalC4))/(2*MAX(TotalYou,MAX(TotalC1,TotalC2,TotalC3,TotalC4))))),2))</f>
      </c>
    </row>
    <row r="17" ht="24" customHeight="1" spans="1:6" x14ac:dyDescent="0.25">
      <c r="A17" s="12" t="s">
        <v>109</v>
      </c>
      <c r="B17"/>
      <c r="C17"/>
      <c r="D17"/>
      <c r="E17"/>
      <c r="F17"/>
    </row>
    <row r="18" spans="1:2" x14ac:dyDescent="0.25">
      <c r="A18" s="6" t="s">
        <v>110</v>
      </c>
      <c r="B18" s="42">
        <f>IF(OR(YourPrice="",OppValue="",OppValue=0),"Add prices on Setup tab",YourPrice/OppValue)</f>
      </c>
    </row>
    <row r="19" spans="1:6" x14ac:dyDescent="0.25">
      <c r="A19" s="6" t="s">
        <v>111</v>
      </c>
      <c r="B19" s="43">
        <f>IF(OR(YourPrice="",OppValue="",OppValue=0),"-",IF(YourPrice/OppValue&lt;0.9,"Aggressive — verify margins hold",IF(YourPrice/OppValue&lt;1.05,"Market — defendable","Premium — needs strong technical story")))</f>
      </c>
      <c r="C19"/>
      <c r="D19"/>
      <c r="E19"/>
      <c r="F19"/>
    </row>
    <row r="21" ht="24" customHeight="1" spans="1:6" x14ac:dyDescent="0.25">
      <c r="A21" s="12" t="s">
        <v>112</v>
      </c>
      <c r="B21"/>
      <c r="C21"/>
      <c r="D21"/>
      <c r="E21"/>
      <c r="F21"/>
    </row>
    <row r="22" ht="60" customHeight="1" spans="1:6" x14ac:dyDescent="0.25">
      <c r="A22" s="44">
        <f>IF(OR(TotalYou=0,MAX(TotalC1,TotalC2,TotalC3,TotalC4)=0),"Fill the Scoring tab — recommendation pending.",IF(TotalYou-MAX(TotalC1,TotalC2,TotalC3,TotalC4)&gt;=1,"BID. You lead the field on weighted score. Lock the win themes on your top three factors and protect against price erosion.",IF(TotalYou-MAX(TotalC1,TotalC2,TotalC3,TotalC4)&gt;=-0.5,"BID WITH CAUTION. Race is close. Identify the two factors with the largest competitor lead and rework your approach before the proposal start.",IF(TotalYou-MAX(TotalC1,TotalC2,TotalC3,TotalC4)&gt;=-1.5,"NO-BID CANDIDATE. Multiple competitors out-score you on weighted factors. Either find a teaming partner who closes the gap, or save the proposal budget for a better fit.","NO-BID. The field is well ahead. Use this opportunity to learn — request a debrief if it lands, and add the winners to your competitor watchlist."))))</f>
      </c>
      <c r="B22"/>
      <c r="C22"/>
      <c r="D22"/>
      <c r="E22"/>
      <c r="F22"/>
    </row>
    <row r="24" spans="1:6" x14ac:dyDescent="0.25">
      <c r="A24" s="45" t="s">
        <v>113</v>
      </c>
      <c r="B24"/>
      <c r="C24"/>
      <c r="D24"/>
      <c r="E24"/>
      <c r="F24"/>
    </row>
  </sheetData>
  <mergeCells count="8">
    <mergeCell ref="A2:F2"/>
    <mergeCell ref="A3:F3"/>
    <mergeCell ref="A12:F12"/>
    <mergeCell ref="A17:F17"/>
    <mergeCell ref="B19:F19"/>
    <mergeCell ref="A21:F21"/>
    <mergeCell ref="A22:F22"/>
    <mergeCell ref="A24:F24"/>
  </mergeCells>
  <conditionalFormatting sqref="C7:C10">
    <cfRule type="cellIs" dxfId="5" priority="1" operator="greaterThan">
      <formula>0</formula>
    </cfRule>
    <cfRule type="cellIs" dxfId="6" priority="2" operator="lessThan">
      <formula>0</formula>
    </cfRule>
  </conditionalFormatting>
  <conditionalFormatting sqref="E7:E10">
    <cfRule type="containsText" dxfId="7" priority="1">
      <formula>NOT(ISERROR(SEARCH("HIGH",E7)))</formula>
    </cfRule>
    <cfRule type="containsText" dxfId="8" priority="2">
      <formula>NOT(ISERROR(SEARCH("MEDIUM",E7)))</formula>
    </cfRule>
    <cfRule type="containsText" dxfId="9" priority="3">
      <formula>NOT(ISERROR(SEARCH("LOW",E7)))</formula>
    </cfRule>
  </conditionalFormatting>
  <conditionalFormatting sqref="B15">
    <cfRule type="cellIs" dxfId="10" priority="1" operator="greaterThanOrEqual">
      <formula>0.6</formula>
    </cfRule>
    <cfRule type="cellIs" dxfId="11" priority="2" operator="between">
      <formula>0.3</formula>
      <formula>0.599999</formula>
    </cfRule>
    <cfRule type="cellIs" dxfId="12" priority="3" operator="lessThan">
      <formula>0.3</formula>
    </cfRule>
  </conditionalFormatting>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27"/>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30" customWidth="1"/>
    <col min="3" max="3" width="70" customWidth="1"/>
  </cols>
  <sheetData>
    <row r="2" ht="36" customHeight="1" spans="2:3" x14ac:dyDescent="0.25">
      <c r="B2" s="1" t="s">
        <v>114</v>
      </c>
      <c r="C2"/>
    </row>
    <row r="3" ht="22" customHeight="1" spans="2:3" x14ac:dyDescent="0.25">
      <c r="B3" s="2" t="s">
        <v>115</v>
      </c>
      <c r="C3"/>
    </row>
    <row r="5" ht="22" customHeight="1" spans="2:3" x14ac:dyDescent="0.25">
      <c r="B5" s="32" t="s">
        <v>116</v>
      </c>
      <c r="C5"/>
    </row>
    <row r="6" ht="60" customHeight="1" spans="2:3" x14ac:dyDescent="0.25">
      <c r="B6" s="4" t="s">
        <v>117</v>
      </c>
      <c r="C6"/>
    </row>
    <row r="8" ht="22" customHeight="1" spans="2:3" x14ac:dyDescent="0.25">
      <c r="B8" s="32" t="s">
        <v>118</v>
      </c>
      <c r="C8"/>
    </row>
    <row r="9" ht="60" customHeight="1" spans="2:3" x14ac:dyDescent="0.25">
      <c r="B9" s="4" t="s">
        <v>119</v>
      </c>
      <c r="C9"/>
    </row>
    <row r="11" ht="22" customHeight="1" spans="2:3" x14ac:dyDescent="0.25">
      <c r="B11" s="32" t="s">
        <v>120</v>
      </c>
      <c r="C11"/>
    </row>
    <row r="12" ht="60" customHeight="1" spans="2:3" x14ac:dyDescent="0.25">
      <c r="B12" s="4" t="s">
        <v>121</v>
      </c>
      <c r="C12"/>
    </row>
    <row r="14" ht="22" customHeight="1" spans="2:3" x14ac:dyDescent="0.25">
      <c r="B14" s="32" t="s">
        <v>122</v>
      </c>
      <c r="C14"/>
    </row>
    <row r="15" ht="60" customHeight="1" spans="2:3" x14ac:dyDescent="0.25">
      <c r="B15" s="4" t="s">
        <v>123</v>
      </c>
      <c r="C15"/>
    </row>
    <row r="17" ht="22" customHeight="1" spans="2:3" x14ac:dyDescent="0.25">
      <c r="B17" s="32" t="s">
        <v>124</v>
      </c>
      <c r="C17"/>
    </row>
    <row r="18" ht="60" customHeight="1" spans="2:3" x14ac:dyDescent="0.25">
      <c r="B18" s="4" t="s">
        <v>125</v>
      </c>
      <c r="C18"/>
    </row>
    <row r="20" ht="22" customHeight="1" spans="2:3" x14ac:dyDescent="0.25">
      <c r="B20" s="32" t="s">
        <v>126</v>
      </c>
      <c r="C20"/>
    </row>
    <row r="21" ht="60" customHeight="1" spans="2:3" x14ac:dyDescent="0.25">
      <c r="B21" s="4" t="s">
        <v>127</v>
      </c>
      <c r="C21"/>
    </row>
    <row r="23" ht="22" customHeight="1" spans="2:3" x14ac:dyDescent="0.25">
      <c r="B23" s="32" t="s">
        <v>128</v>
      </c>
      <c r="C23"/>
    </row>
    <row r="24" ht="60" customHeight="1" spans="2:3" x14ac:dyDescent="0.25">
      <c r="B24" s="4" t="s">
        <v>129</v>
      </c>
      <c r="C24"/>
    </row>
    <row r="26" ht="22" customHeight="1" spans="2:3" x14ac:dyDescent="0.25">
      <c r="B26" s="32" t="s">
        <v>130</v>
      </c>
      <c r="C26"/>
    </row>
    <row r="27" ht="60" customHeight="1" spans="2:3" x14ac:dyDescent="0.25">
      <c r="B27" s="4" t="s">
        <v>131</v>
      </c>
      <c r="C27"/>
    </row>
  </sheetData>
  <mergeCells count="18">
    <mergeCell ref="B2:C2"/>
    <mergeCell ref="B3:C3"/>
    <mergeCell ref="B5:C5"/>
    <mergeCell ref="B6:C6"/>
    <mergeCell ref="B8:C8"/>
    <mergeCell ref="B9:C9"/>
    <mergeCell ref="B11:C11"/>
    <mergeCell ref="B12:C12"/>
    <mergeCell ref="B14:C14"/>
    <mergeCell ref="B15:C15"/>
    <mergeCell ref="B17:C17"/>
    <mergeCell ref="B18:C18"/>
    <mergeCell ref="B20:C20"/>
    <mergeCell ref="B21:C21"/>
    <mergeCell ref="B23:C23"/>
    <mergeCell ref="B24:C24"/>
    <mergeCell ref="B26:C26"/>
    <mergeCell ref="B27:C27"/>
  </mergeCell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Setup</vt:lpstr>
      <vt:lpstr>Profiles</vt:lpstr>
      <vt:lpstr>Scoring</vt:lpstr>
      <vt:lpstr>SWOT</vt:lpstr>
      <vt:lpstr>Summary</vt:lpstr>
      <vt:lpstr>Help</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Competitive Bid Analysis Worksheet</dc:title>
  <dc:subject>Federal Lead Kit — 04 Bid/No-Bid Decision Toolkit</dc:subject>
  <dc:description/>
  <cp:keywords/>
  <cp:category/>
  <cp:lastModifiedBy>CapturePilot</cp:lastModifiedBy>
  <dcterms:created xsi:type="dcterms:W3CDTF">2026-06-05T21:27:07Z</dcterms:created>
  <dcterms:modified xsi:type="dcterms:W3CDTF">2026-06-05T21:27:07Z</dcterms:modified>
</cp:coreProperties>
</file>