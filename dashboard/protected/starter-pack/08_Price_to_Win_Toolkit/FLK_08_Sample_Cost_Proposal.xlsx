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s" state="veryHidden" r:id="rId4"/>
    <sheet sheetId="2" name="Direct Labor" state="visible" r:id="rId5"/>
    <sheet sheetId="3" name="Other Direct Costs" state="visible" r:id="rId6"/>
    <sheet sheetId="4" name="Indirect Rates" state="visible" r:id="rId7"/>
    <sheet sheetId="5" name="Fee" state="visible" r:id="rId8"/>
    <sheet sheetId="6" name="Summary" state="visible" r:id="rId9"/>
  </sheets>
  <definedNames>
    <definedName name="YesNo">Lists!$A$2:$A$3</definedName>
    <definedName name="ContractType">Lists!$B$2:$B$7</definedName>
    <definedName name="Period">Lists!$C$2:$C$5</definedName>
    <definedName name="ODCCategory">Lists!$D$2:$D$7</definedName>
    <definedName name="DL_BY">'Direct Labor'!$F$17</definedName>
    <definedName name="DL_OY1">'Direct Labor'!$I$17</definedName>
    <definedName name="DL_OY2">'Direct Labor'!$L$17</definedName>
    <definedName name="DL_TOTAL">'Direct Labor'!$N$17</definedName>
    <definedName name="ODC_BY">'Other Direct Costs'!$F$15</definedName>
    <definedName name="ODC_OY1">'Other Direct Costs'!$G$15</definedName>
    <definedName name="ODC_OY2">'Other Direct Costs'!$H$15</definedName>
    <definedName name="ODC_TOTAL">'Other Direct Costs'!$I$15</definedName>
    <definedName name="RATE_FRINGE_BY">'Indirect Rates'!$B$6</definedName>
    <definedName name="RATE_FRINGE_OY1">'Indirect Rates'!$C$6</definedName>
    <definedName name="RATE_FRINGE_OY2">'Indirect Rates'!$D$6</definedName>
    <definedName name="RATE_OH_BY">'Indirect Rates'!$B$7</definedName>
    <definedName name="RATE_OH_OY1">'Indirect Rates'!$C$7</definedName>
    <definedName name="RATE_OH_OY2">'Indirect Rates'!$D$7</definedName>
    <definedName name="RATE_GA_BY">'Indirect Rates'!$B$8</definedName>
    <definedName name="TCBF_BY">'Indirect Rates'!$B$17</definedName>
    <definedName name="TCBF_OY1">'Indirect Rates'!$C$17</definedName>
    <definedName name="TCBF_OY2">'Indirect Rates'!$D$17</definedName>
    <definedName name="TCBF_TOTAL">'Indirect Rates'!$E$17</definedName>
    <definedName name="FEE_RATE">Fee!$B$5</definedName>
    <definedName name="FEE_BY">Fee!$B$6</definedName>
    <definedName name="FEE_OY1">Fee!$C$6</definedName>
    <definedName name="FEE_OY2">Fee!$D$6</definedName>
    <definedName name="FEE_TOTAL">Fee!$E$6</definedName>
    <definedName name="PRICE_BY">Fee!$B$7</definedName>
    <definedName name="PRICE_OY1">Fee!$C$7</definedName>
    <definedName name="PRICE_OY2">Fee!$D$7</definedName>
    <definedName name="PRICE_TOTAL">Fee!$E$7</definedName>
  </definedNames>
  <calcPr calcId="171027"/>
</workbook>
</file>

<file path=xl/sharedStrings.xml><?xml version="1.0" encoding="utf-8"?>
<sst xmlns="http://schemas.openxmlformats.org/spreadsheetml/2006/main" count="201" uniqueCount="161">
  <si>
    <t>Yes / No</t>
  </si>
  <si>
    <t>Contract Type</t>
  </si>
  <si>
    <t>Period</t>
  </si>
  <si>
    <t>ODC Category</t>
  </si>
  <si>
    <t>Yes</t>
  </si>
  <si>
    <t>FFP</t>
  </si>
  <si>
    <t>Base Year</t>
  </si>
  <si>
    <t>Travel</t>
  </si>
  <si>
    <t>No</t>
  </si>
  <si>
    <t>FFP-LOE</t>
  </si>
  <si>
    <t>Option Year 1</t>
  </si>
  <si>
    <t>Other Direct Costs</t>
  </si>
  <si>
    <t>T&amp;M</t>
  </si>
  <si>
    <t>Option Year 2</t>
  </si>
  <si>
    <t>Subcontracts</t>
  </si>
  <si>
    <t>CPFF</t>
  </si>
  <si>
    <t>All Periods</t>
  </si>
  <si>
    <t>Materials</t>
  </si>
  <si>
    <t>CPIF</t>
  </si>
  <si>
    <t>Equipment</t>
  </si>
  <si>
    <t>IDIQ</t>
  </si>
  <si>
    <t>Other</t>
  </si>
  <si>
    <t>DIRECT LABOR COST ESTIMATE</t>
  </si>
  <si>
    <t>Contract: Professional Services Support  —  Agency: Department of Health and Human Services (HHS/ASFR)  —  NAICS 541611</t>
  </si>
  <si>
    <t>Solicitation #</t>
  </si>
  <si>
    <t>HHS-2026-ASFR-0042</t>
  </si>
  <si>
    <t>Contractor</t>
  </si>
  <si>
    <t>Acme Advisory Group LLC</t>
  </si>
  <si>
    <t>Set-Aside</t>
  </si>
  <si>
    <t>Small Business</t>
  </si>
  <si>
    <t>Period of Performance</t>
  </si>
  <si>
    <t>24 months (base) + 2×12-month option years</t>
  </si>
  <si>
    <t>Contracting Office</t>
  </si>
  <si>
    <t>HHS / OASAM</t>
  </si>
  <si>
    <t>Place of Performance</t>
  </si>
  <si>
    <t>Washington, DC (hybrid — on-site 2 days/wk)</t>
  </si>
  <si>
    <t>FAR Part</t>
  </si>
  <si>
    <t>FAR 15.404 (Structured Fee)</t>
  </si>
  <si>
    <t>Submitted</t>
  </si>
  <si>
    <t>2026-06-09</t>
  </si>
  <si>
    <t>Rev</t>
  </si>
  <si>
    <t>v1.0</t>
  </si>
  <si>
    <t>⚑  Escalation: OY1 rates = BY × 1.03  |  OY2 rates = BY × 1.0609 (3% COLA per FAR 52.215-14)  |  Hours are fixed across all periods for this FFP vehicle</t>
  </si>
  <si>
    <t>BASE YEAR (BY)  —  Months 1-24</t>
  </si>
  <si>
    <t>OPTION YEAR 1 (OY1)  —  Months 25-36</t>
  </si>
  <si>
    <t>OPTION YEAR 2 (OY2)  —  Months 37-48</t>
  </si>
  <si>
    <t>CONTRACT TOTAL</t>
  </si>
  <si>
    <t>#</t>
  </si>
  <si>
    <t>Labor Category / Position</t>
  </si>
  <si>
    <t>Grade / Level</t>
  </si>
  <si>
    <t>Hours</t>
  </si>
  <si>
    <t xml:space="preserve">Loaded Rate
($/hr)</t>
  </si>
  <si>
    <t>Cost</t>
  </si>
  <si>
    <t>Total Hours</t>
  </si>
  <si>
    <t>Total Cost</t>
  </si>
  <si>
    <t>Senior Management Consultant</t>
  </si>
  <si>
    <t>Level III (GS-14 equiv)</t>
  </si>
  <si>
    <t>Business Process Analyst</t>
  </si>
  <si>
    <t>Level II (GS-12 equiv)</t>
  </si>
  <si>
    <t>Administrative Support Specialist</t>
  </si>
  <si>
    <t>Level I (GS-7 equiv)</t>
  </si>
  <si>
    <t>SUBTOTAL  —  DIRECT LABOR</t>
  </si>
  <si>
    <t>Note: Rates are "fully loaded" — base salary + fringe (34%) + overhead (62%) wrapped into a single $/hr figure per FAR 31.201-2 cost allowability. Rates do NOT include G&amp;A or fee — those are applied on Indirect Rates tab.</t>
  </si>
  <si>
    <t>CapturePilot Federal Lead Kit  -  capturepilot.com  -  08 Price-to-Win Toolkit</t>
  </si>
  <si>
    <t>OTHER DIRECT COSTS (ODCs)</t>
  </si>
  <si>
    <t>NOTE:</t>
  </si>
  <si>
    <t>ODCs are direct charges not attributable to labor. They must be specifically identified and justified per FAR 31.202. Each line below ties to a specific SOW task or deliverable.</t>
  </si>
  <si>
    <t>Travel policy:</t>
  </si>
  <si>
    <t>Government travel rate per GSA per diem schedule (FY 2026). DC hotel cap $258/night. M&amp;IE $79/day. Airfare coach class only per FAR 31.205-46.</t>
  </si>
  <si>
    <t>BASE YEAR</t>
  </si>
  <si>
    <t>OPTION YEAR 1</t>
  </si>
  <si>
    <t>OPTION YEAR 2</t>
  </si>
  <si>
    <t xml:space="preserve">CONTRACT
TOTAL</t>
  </si>
  <si>
    <t>Item Description</t>
  </si>
  <si>
    <t>Category</t>
  </si>
  <si>
    <t>Qty / Trips</t>
  </si>
  <si>
    <t>Unit Cost</t>
  </si>
  <si>
    <t>BY Cost</t>
  </si>
  <si>
    <t>OY1 Cost</t>
  </si>
  <si>
    <t>OY2 Cost</t>
  </si>
  <si>
    <t>Total</t>
  </si>
  <si>
    <t>Justification / Reference</t>
  </si>
  <si>
    <t>Quarterly kick-off and progress review meetings (airfare + hotel + M&amp;IE)</t>
  </si>
  <si>
    <t>4 trips × contractor + COR at each. GSA per diem BWI-IAD corridor. FAR 31.205-46 coach class.</t>
  </si>
  <si>
    <t>Site visit to HHS program office (local day trip)</t>
  </si>
  <si>
    <t>Metro SmarTrip $4.60 each way × 8 visits BY. OY = same frequency.</t>
  </si>
  <si>
    <t>Software licenses — MS Project Professional (annual)</t>
  </si>
  <si>
    <t>3 licenses × project manager + 2 analysts. Vendor quote #QPR-2026-0412 on file.</t>
  </si>
  <si>
    <t>SharePoint / O365 per-user (annual, contractor-provided)</t>
  </si>
  <si>
    <t>3 seats × $120/user/yr. GFE not available for contractors on this task.</t>
  </si>
  <si>
    <t>Printed deliverables and binders for 4 quarterly reports</t>
  </si>
  <si>
    <t>4 reports × 10 copies each. Agency requires physical binder per CDRL A001.</t>
  </si>
  <si>
    <t>Professional publications and reference databases</t>
  </si>
  <si>
    <t>Federal Register archive access. One annual subscription covers all staff.</t>
  </si>
  <si>
    <t>SUBTOTAL  —  OTHER DIRECT COSTS</t>
  </si>
  <si>
    <t>INDIRECT RATES  &amp;  COST BUILDUP</t>
  </si>
  <si>
    <t>Rates based on most recent DCAA-audited forward pricing rate agreement (FPRA). Final negotiated rates will govern per FAR 42.703. All pools applied to direct labor only (ODCs are not a G&amp;A base on this contract structure).</t>
  </si>
  <si>
    <t>RATE DEFINITIONS  (edit these cells — formulas below will update automatically)</t>
  </si>
  <si>
    <t>Indirect Pool</t>
  </si>
  <si>
    <t>BY Rate</t>
  </si>
  <si>
    <t>OY1 Rate</t>
  </si>
  <si>
    <t>OY2 Rate</t>
  </si>
  <si>
    <t>Base</t>
  </si>
  <si>
    <t>FAR Reference / Audit Authority</t>
  </si>
  <si>
    <t>Fringe Benefits</t>
  </si>
  <si>
    <t>Direct Labor</t>
  </si>
  <si>
    <t>FAR 31.205-6(m). DCAA audit report #2025-001. Covers FICA, medical, dental, vision, 401(k) match, PTO, holidays.</t>
  </si>
  <si>
    <t>Overhead (Facilities)</t>
  </si>
  <si>
    <t>Direct Labor + Fringe</t>
  </si>
  <si>
    <t>FAR 31.203. Pools indirect facilities costs: rent, utilities, IT infrastructure, equipment depreciation.</t>
  </si>
  <si>
    <t>G&amp;A (General &amp; Admin)</t>
  </si>
  <si>
    <t>Total Cost Input (TCI)</t>
  </si>
  <si>
    <t>FAR 31.203(d). Applied to TCI (DL + fringe + OH + ODC) — captures executive salaries, accounting, BD costs.</t>
  </si>
  <si>
    <t>COST BUILDUP BY PERIOD  (all formulas reference Direct Labor and ODC named ranges)</t>
  </si>
  <si>
    <t>Cost Element</t>
  </si>
  <si>
    <t>Contract Total</t>
  </si>
  <si>
    <t>Notes</t>
  </si>
  <si>
    <t>From Direct Labor tab — SUMPRODUCT of hours × fully-loaded rate per labor category</t>
  </si>
  <si>
    <t>DL × fringe rate (B6/C6/D6). FAR 31.205-6(m).</t>
  </si>
  <si>
    <t>Overhead</t>
  </si>
  <si>
    <t>(DL + Fringe) × overhead rate. Pool covers facilities, IT, equipment.</t>
  </si>
  <si>
    <t>From ODC tab — travel, software, materials. All individually justified.</t>
  </si>
  <si>
    <t>G&amp;A (applied to TCI)</t>
  </si>
  <si>
    <t>G&amp;A rate (8) × Total Cost Input (DL+Fringe+OH+ODC). FAR 31.203(d).</t>
  </si>
  <si>
    <t>TOTAL COST BEFORE FEE</t>
  </si>
  <si>
    <t>FEE COMPUTATION  —  8% FIXED FEE</t>
  </si>
  <si>
    <t>Fixed fee (profit) applied at 8% of total estimated cost (DL + indirect costs). Per DFARS 215.404-4, DoD weighted guidelines suggest 8-10% for low-risk FFP professional services. DCAA will not audit fee — it's negotiated, not cost-justified.</t>
  </si>
  <si>
    <t>Fee Element</t>
  </si>
  <si>
    <t>Fee Rate (edit to adjust)</t>
  </si>
  <si>
    <t>Edit column B only. OY1 and OY2 inherit same rate. Defensible range for FFP professional services: 7-12% (DFARS 215.404-4).</t>
  </si>
  <si>
    <t>Fee Amount (TCBF × Fee Rate)</t>
  </si>
  <si>
    <t>Computed as TCBF (from Indirect Rates tab) × fee rate above. On FFP you lock this number at award — it doesn't float with actuals.</t>
  </si>
  <si>
    <t>TOTAL PROPOSED PRICE  (TCBF + Fee)</t>
  </si>
  <si>
    <t>This is the number that goes on Section B of the SF 1449 / SF 33 and your Cover Page. Verify it's within ±5% of your PTW estimate before submitting.</t>
  </si>
  <si>
    <t>SANITY CHECK  —  Total proposed price above should be near $750,000. If it's significantly off, review your hours or rates on the Direct Labor tab.</t>
  </si>
  <si>
    <t>COST PROPOSAL SUMMARY  —  SF 1411 FORMAT</t>
  </si>
  <si>
    <t>Professional Services Support  |  HHS-2026-ASFR-0042  |  Acme Advisory Group LLC  |  24-month base + 2 option years</t>
  </si>
  <si>
    <t>% of Price</t>
  </si>
  <si>
    <t>G&amp;A</t>
  </si>
  <si>
    <t>Total Cost Before Fee</t>
  </si>
  <si>
    <t>Fee (8%)</t>
  </si>
  <si>
    <t>TOTAL PROPOSED PRICE</t>
  </si>
  <si>
    <t>100.0%</t>
  </si>
  <si>
    <t>COST-SHARE REFERENCE TABLE  (N/A for this FFP — shown for cost-plus reference)</t>
  </si>
  <si>
    <t>Scenario</t>
  </si>
  <si>
    <t>Gov't Share</t>
  </si>
  <si>
    <t>Contractor Share</t>
  </si>
  <si>
    <t>Gov't Dollar Amount</t>
  </si>
  <si>
    <t>Contractor Dollar Amount</t>
  </si>
  <si>
    <t>Note</t>
  </si>
  <si>
    <t>No cost-sharing (standard FFP)</t>
  </si>
  <si>
    <t>100%</t>
  </si>
  <si>
    <t>0%</t>
  </si>
  <si>
    <t>Standard FFP — contractor bears all cost risk above ceiling price.</t>
  </si>
  <si>
    <t>20% contractor cost-share (SBIR Phase II)</t>
  </si>
  <si>
    <t>80%</t>
  </si>
  <si>
    <t>20%</t>
  </si>
  <si>
    <t>Common in SBIR Phase II (FAR 35.003, SBA SBIR Policy Directive §4(a)).</t>
  </si>
  <si>
    <t>50/50 cost-share (R&amp;D partnership)</t>
  </si>
  <si>
    <t>50%</t>
  </si>
  <si>
    <t>DOE and NSF sometimes require 50/50 for commercialization programs.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</si>
</sst>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"/>
    <numFmt numFmtId="166" formatCode="0.0%"/>
  </numFmts>
  <fonts count="25" x14ac:knownFonts="1">
    <font>
      <color theme="1"/>
      <family val="2"/>
      <scheme val="minor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334155"/>
      <sz val="10"/>
      <name val="Calibri"/>
    </font>
    <font>
      <color rgb="FF0F172A"/>
      <sz val="11"/>
      <name val="Calibri"/>
    </font>
    <font>
      <i/>
      <color rgb="FF334155"/>
      <sz val="10"/>
      <name val="Calibri"/>
    </font>
    <font>
      <b/>
      <color rgb="FFFFFFFF"/>
      <sz val="10"/>
      <name val="Calibri"/>
    </font>
    <font>
      <color rgb="FF334155"/>
      <sz val="10"/>
      <name val="Consolas"/>
    </font>
    <font>
      <color rgb="FF334155"/>
      <sz val="10"/>
      <name val="Calibri"/>
    </font>
    <font>
      <b/>
      <color rgb="FF0F172A"/>
      <sz val="11"/>
      <name val="Calibri"/>
    </font>
    <font>
      <b/>
      <color rgb="FF047857"/>
      <sz val="11"/>
      <name val="Calibri"/>
    </font>
    <font>
      <color rgb="FF334155"/>
      <sz val="11"/>
      <name val="Calibri"/>
    </font>
    <font>
      <b/>
      <color rgb="FFFFFFFF"/>
      <sz val="12"/>
      <name val="Calibri"/>
    </font>
    <font>
      <b/>
      <color rgb="FF047857"/>
      <sz val="13"/>
      <name val="Calibri"/>
    </font>
    <font>
      <i/>
      <color rgb="FF334155"/>
      <sz val="9"/>
      <name val="Calibri"/>
    </font>
    <font>
      <i/>
      <color rgb="FFFFFFFF"/>
      <sz val="10"/>
      <name val="Calibri"/>
    </font>
    <font>
      <color rgb="FF047857"/>
      <sz val="11"/>
      <name val="Calibri"/>
    </font>
    <font>
      <b/>
      <color rgb="FF047857"/>
      <sz val="14"/>
      <name val="Calibri"/>
    </font>
    <font>
      <b/>
      <color rgb="FF92400E"/>
      <sz val="11"/>
      <name val="Calibri"/>
    </font>
    <font>
      <b/>
      <color rgb="FFFFFFFF"/>
      <sz val="11"/>
      <name val="Calibri"/>
    </font>
    <font>
      <b/>
      <color rgb="FF047857"/>
      <sz val="12"/>
      <name val="Calibri"/>
    </font>
    <font>
      <color rgb="FF0F172A"/>
      <sz val="10"/>
      <name val="Calibri"/>
    </font>
    <font>
      <color rgb="FF047857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10B981"/>
      </patternFill>
    </fill>
    <fill>
      <patternFill patternType="solid">
        <fgColor rgb="FF047857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334155"/>
      </patternFill>
    </fill>
  </fills>
  <borders count="5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10B981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/>
      <top style="medium">
        <color rgb="FF10B981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0" borderId="0" xfId="0" applyFont="1" applyAlignment="1">
      <alignment horizontal="right" vertical="center" indent="1"/>
    </xf>
    <xf numFmtId="0" fontId="6" fillId="0" borderId="1" xfId="0" applyFont="1" applyBorder="1"/>
    <xf numFmtId="0" fontId="7" fillId="0" borderId="0" xfId="0" applyFont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 indent="1"/>
    </xf>
    <xf numFmtId="0" fontId="9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 indent="1"/>
    </xf>
    <xf numFmtId="0" fontId="10" fillId="6" borderId="1" xfId="0" applyFont="1" applyFill="1" applyBorder="1" applyAlignment="1">
      <alignment horizontal="center" vertical="center"/>
    </xf>
    <xf numFmtId="3" fontId="11" fillId="7" borderId="3" xfId="0" applyNumberFormat="1" applyFont="1" applyFill="1" applyBorder="1" applyAlignment="1">
      <alignment horizontal="center" vertical="center"/>
    </xf>
    <xf numFmtId="164" fontId="11" fillId="7" borderId="3" xfId="0" applyNumberFormat="1" applyFont="1" applyFill="1" applyBorder="1" applyAlignment="1">
      <alignment horizontal="center" vertical="center"/>
    </xf>
    <xf numFmtId="165" fontId="12" fillId="2" borderId="1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 indent="1"/>
    </xf>
    <xf numFmtId="0" fontId="10" fillId="8" borderId="1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vertical="center" indent="1"/>
    </xf>
    <xf numFmtId="3" fontId="15" fillId="2" borderId="4" xfId="0" applyNumberFormat="1" applyFont="1" applyFill="1" applyBorder="1" applyAlignment="1">
      <alignment horizontal="center" vertical="center"/>
    </xf>
    <xf numFmtId="165" fontId="15" fillId="2" borderId="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wrapText="1" indent="1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 indent="1"/>
    </xf>
    <xf numFmtId="0" fontId="8" fillId="3" borderId="0" xfId="0" applyFont="1" applyFill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 indent="1"/>
    </xf>
    <xf numFmtId="0" fontId="16" fillId="8" borderId="1" xfId="0" applyFont="1" applyFill="1" applyBorder="1" applyAlignment="1">
      <alignment horizontal="left" vertical="center" wrapText="1" indent="1"/>
    </xf>
    <xf numFmtId="0" fontId="17" fillId="4" borderId="0" xfId="0" applyFont="1" applyFill="1" applyAlignment="1">
      <alignment horizontal="left" vertical="center" wrapText="1" indent="1"/>
    </xf>
    <xf numFmtId="0" fontId="8" fillId="5" borderId="0" xfId="0" applyFont="1" applyFill="1" applyAlignment="1">
      <alignment horizontal="left" vertical="center" indent="1"/>
    </xf>
    <xf numFmtId="0" fontId="11" fillId="6" borderId="1" xfId="0" applyFont="1" applyFill="1" applyBorder="1" applyAlignment="1">
      <alignment horizontal="left" vertical="center" indent="2"/>
    </xf>
    <xf numFmtId="10" fontId="11" fillId="7" borderId="3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 indent="2"/>
    </xf>
    <xf numFmtId="0" fontId="7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indent="2"/>
    </xf>
    <xf numFmtId="165" fontId="18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indent="2"/>
    </xf>
    <xf numFmtId="165" fontId="18" fillId="8" borderId="1" xfId="0" applyNumberFormat="1" applyFont="1" applyFill="1" applyBorder="1" applyAlignment="1">
      <alignment horizontal="center" vertical="center"/>
    </xf>
    <xf numFmtId="165" fontId="11" fillId="8" borderId="1" xfId="0" applyNumberFormat="1" applyFont="1" applyFill="1" applyBorder="1" applyAlignment="1">
      <alignment horizontal="center" vertical="center"/>
    </xf>
    <xf numFmtId="10" fontId="7" fillId="2" borderId="0" xfId="0" applyNumberFormat="1" applyFont="1" applyFill="1" applyAlignment="1">
      <alignment horizontal="center" vertical="center"/>
    </xf>
    <xf numFmtId="0" fontId="16" fillId="8" borderId="0" xfId="0" applyFont="1" applyFill="1" applyAlignment="1">
      <alignment horizontal="left" vertical="center" wrapText="1" indent="1"/>
    </xf>
    <xf numFmtId="0" fontId="16" fillId="6" borderId="0" xfId="0" applyFont="1" applyFill="1" applyAlignment="1">
      <alignment horizontal="left" vertical="center" wrapText="1" indent="1"/>
    </xf>
    <xf numFmtId="165" fontId="19" fillId="2" borderId="4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 indent="1"/>
    </xf>
    <xf numFmtId="0" fontId="20" fillId="9" borderId="0" xfId="0" applyFont="1" applyFill="1" applyAlignment="1">
      <alignment horizontal="left" vertical="center" indent="1"/>
    </xf>
    <xf numFmtId="0" fontId="17" fillId="4" borderId="0" xfId="0" applyFont="1" applyFill="1" applyAlignment="1">
      <alignment horizontal="left" vertical="center" indent="1"/>
    </xf>
    <xf numFmtId="166" fontId="10" fillId="6" borderId="1" xfId="0" applyNumberFormat="1" applyFont="1" applyFill="1" applyBorder="1" applyAlignment="1">
      <alignment horizontal="center" vertical="center"/>
    </xf>
    <xf numFmtId="166" fontId="10" fillId="8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 indent="1"/>
    </xf>
    <xf numFmtId="166" fontId="22" fillId="2" borderId="4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horizontal="left" vertical="center" indent="1"/>
    </xf>
    <xf numFmtId="0" fontId="8" fillId="10" borderId="2" xfId="0" applyFont="1" applyFill="1" applyBorder="1" applyAlignment="1">
      <alignment horizontal="left" vertical="center" wrapText="1" indent="1"/>
    </xf>
    <xf numFmtId="0" fontId="8" fillId="10" borderId="2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left" vertical="center" indent="1"/>
    </xf>
    <xf numFmtId="9" fontId="10" fillId="6" borderId="1" xfId="0" applyNumberFormat="1" applyFont="1" applyFill="1" applyBorder="1" applyAlignment="1">
      <alignment horizontal="center" vertical="center"/>
    </xf>
    <xf numFmtId="165" fontId="24" fillId="6" borderId="1" xfId="0" applyNumberFormat="1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left" vertical="center" indent="1"/>
    </xf>
    <xf numFmtId="9" fontId="10" fillId="8" borderId="1" xfId="0" applyNumberFormat="1" applyFont="1" applyFill="1" applyBorder="1" applyAlignment="1">
      <alignment horizontal="center" vertical="center"/>
    </xf>
    <xf numFmtId="165" fontId="24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showGridLines="0"/>
  </sheetViews>
  <sheetFormatPr defaultRowHeight="15" outlineLevelRow="0" outlineLevelCol="0" x14ac:dyDescent="55"/>
  <cols>
    <col min="1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2:4" x14ac:dyDescent="0.25">
      <c r="B4" s="2" t="s">
        <v>12</v>
      </c>
      <c r="C4" s="2" t="s">
        <v>13</v>
      </c>
      <c r="D4" s="2" t="s">
        <v>14</v>
      </c>
    </row>
    <row r="5" spans="2:4" x14ac:dyDescent="0.25">
      <c r="B5" s="2" t="s">
        <v>15</v>
      </c>
      <c r="C5" s="2" t="s">
        <v>16</v>
      </c>
      <c r="D5" s="2" t="s">
        <v>17</v>
      </c>
    </row>
    <row r="6" spans="2:4" x14ac:dyDescent="0.25">
      <c r="B6" s="2" t="s">
        <v>18</v>
      </c>
      <c r="D6" s="2" t="s">
        <v>19</v>
      </c>
    </row>
    <row r="7" spans="2:4" x14ac:dyDescent="0.25">
      <c r="B7" s="2" t="s">
        <v>20</v>
      </c>
      <c r="D7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"/>
  <sheetViews>
    <sheetView workbookViewId="0" showGridLines="0">
      <pane ySplit="14" topLeftCell="A1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32" customWidth="1"/>
    <col min="3" max="3" width="14" customWidth="1"/>
    <col min="4" max="4" width="13" customWidth="1"/>
    <col min="5" max="5" width="12" customWidth="1"/>
    <col min="6" max="6" width="14" customWidth="1"/>
    <col min="7" max="7" width="13" customWidth="1"/>
    <col min="8" max="8" width="12" customWidth="1"/>
    <col min="9" max="9" width="14" customWidth="1"/>
    <col min="10" max="10" width="13" customWidth="1"/>
    <col min="11" max="11" width="12" customWidth="1"/>
    <col min="12" max="12" width="14" customWidth="1"/>
    <col min="13" max="14" width="15" customWidth="1"/>
  </cols>
  <sheetData>
    <row r="1" ht="40" customHeight="1" spans="1:14" x14ac:dyDescent="0.25">
      <c r="A1" s="3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22" customHeight="1" spans="1:14" x14ac:dyDescent="0.25">
      <c r="A2" s="4" t="s">
        <v>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6" customHeight="1" x14ac:dyDescent="0.25"/>
    <row r="4" ht="20" customHeight="1" spans="2:14" x14ac:dyDescent="0.25">
      <c r="B4" s="5" t="s">
        <v>24</v>
      </c>
      <c r="C4" s="6" t="s">
        <v>25</v>
      </c>
      <c r="D4" s="6"/>
      <c r="E4" s="6"/>
      <c r="F4" s="6"/>
      <c r="H4" s="5" t="s">
        <v>1</v>
      </c>
      <c r="I4" s="6" t="s">
        <v>5</v>
      </c>
      <c r="J4" s="6"/>
      <c r="K4" s="6"/>
      <c r="L4" s="6"/>
      <c r="M4" s="6"/>
      <c r="N4" s="6"/>
    </row>
    <row r="5" ht="20" customHeight="1" spans="2:14" x14ac:dyDescent="0.25">
      <c r="B5" s="5" t="s">
        <v>26</v>
      </c>
      <c r="C5" s="6" t="s">
        <v>27</v>
      </c>
      <c r="D5" s="6"/>
      <c r="E5" s="6"/>
      <c r="F5" s="6"/>
      <c r="H5" s="5" t="s">
        <v>28</v>
      </c>
      <c r="I5" s="6" t="s">
        <v>29</v>
      </c>
      <c r="J5" s="6"/>
      <c r="K5" s="6"/>
      <c r="L5" s="6"/>
      <c r="M5" s="6"/>
      <c r="N5" s="6"/>
    </row>
    <row r="6" ht="20" customHeight="1" spans="2:14" x14ac:dyDescent="0.25">
      <c r="B6" s="5" t="s">
        <v>30</v>
      </c>
      <c r="C6" s="6" t="s">
        <v>31</v>
      </c>
      <c r="D6" s="6"/>
      <c r="E6" s="6"/>
      <c r="F6" s="6"/>
      <c r="H6" s="5" t="s">
        <v>32</v>
      </c>
      <c r="I6" s="6" t="s">
        <v>33</v>
      </c>
      <c r="J6" s="6"/>
      <c r="K6" s="6"/>
      <c r="L6" s="6"/>
      <c r="M6" s="6"/>
      <c r="N6" s="6"/>
    </row>
    <row r="7" ht="20" customHeight="1" spans="2:14" x14ac:dyDescent="0.25">
      <c r="B7" s="5" t="s">
        <v>34</v>
      </c>
      <c r="C7" s="6" t="s">
        <v>35</v>
      </c>
      <c r="D7" s="6"/>
      <c r="E7" s="6"/>
      <c r="F7" s="6"/>
      <c r="H7" s="5" t="s">
        <v>36</v>
      </c>
      <c r="I7" s="6" t="s">
        <v>37</v>
      </c>
      <c r="J7" s="6"/>
      <c r="K7" s="6"/>
      <c r="L7" s="6"/>
      <c r="M7" s="6"/>
      <c r="N7" s="6"/>
    </row>
    <row r="8" ht="20" customHeight="1" spans="2:14" x14ac:dyDescent="0.25">
      <c r="B8" s="5" t="s">
        <v>38</v>
      </c>
      <c r="C8" s="6" t="s">
        <v>39</v>
      </c>
      <c r="D8" s="6"/>
      <c r="E8" s="6"/>
      <c r="F8" s="6"/>
      <c r="H8" s="5" t="s">
        <v>40</v>
      </c>
      <c r="I8" s="6" t="s">
        <v>41</v>
      </c>
      <c r="J8" s="6"/>
      <c r="K8" s="6"/>
      <c r="L8" s="6"/>
      <c r="M8" s="6"/>
      <c r="N8" s="6"/>
    </row>
    <row r="10" ht="20" customHeight="1" spans="1:14" x14ac:dyDescent="0.25">
      <c r="A10" s="7" t="s">
        <v>42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ht="6" customHeight="1" x14ac:dyDescent="0.25"/>
    <row r="12" ht="22" customHeight="1" spans="4:14" x14ac:dyDescent="0.25">
      <c r="D12" s="8" t="s">
        <v>43</v>
      </c>
      <c r="E12" s="8"/>
      <c r="F12" s="8"/>
      <c r="G12" s="8" t="s">
        <v>44</v>
      </c>
      <c r="H12" s="8"/>
      <c r="I12" s="8"/>
      <c r="J12" s="8" t="s">
        <v>45</v>
      </c>
      <c r="K12" s="8"/>
      <c r="L12" s="8"/>
      <c r="M12" s="9" t="s">
        <v>46</v>
      </c>
      <c r="N12" s="9"/>
    </row>
    <row r="13" ht="32" customHeight="1" spans="1:14" x14ac:dyDescent="0.25">
      <c r="A13" s="10" t="s">
        <v>47</v>
      </c>
      <c r="B13" s="11" t="s">
        <v>48</v>
      </c>
      <c r="C13" s="10" t="s">
        <v>49</v>
      </c>
      <c r="D13" s="10" t="s">
        <v>50</v>
      </c>
      <c r="E13" s="10" t="s">
        <v>51</v>
      </c>
      <c r="F13" s="10" t="s">
        <v>52</v>
      </c>
      <c r="G13" s="10" t="s">
        <v>50</v>
      </c>
      <c r="H13" s="10" t="s">
        <v>51</v>
      </c>
      <c r="I13" s="10" t="s">
        <v>52</v>
      </c>
      <c r="J13" s="10" t="s">
        <v>50</v>
      </c>
      <c r="K13" s="10" t="s">
        <v>51</v>
      </c>
      <c r="L13" s="10" t="s">
        <v>52</v>
      </c>
      <c r="M13" s="10" t="s">
        <v>53</v>
      </c>
      <c r="N13" s="10" t="s">
        <v>54</v>
      </c>
    </row>
    <row r="14" ht="22" customHeight="1" spans="1:14" x14ac:dyDescent="0.25">
      <c r="A14" s="12">
        <v>1</v>
      </c>
      <c r="B14" s="13" t="s">
        <v>55</v>
      </c>
      <c r="C14" s="14" t="s">
        <v>56</v>
      </c>
      <c r="D14" s="15">
        <v>1040</v>
      </c>
      <c r="E14" s="16">
        <v>145</v>
      </c>
      <c r="F14" s="17">
        <f>D14*E14</f>
      </c>
      <c r="G14" s="18">
        <f>D14</f>
      </c>
      <c r="H14" s="19">
        <f>E14*1.03</f>
      </c>
      <c r="I14" s="17">
        <f>G14*H14</f>
      </c>
      <c r="J14" s="18">
        <f>D14</f>
      </c>
      <c r="K14" s="19">
        <f>E14*1.0609</f>
      </c>
      <c r="L14" s="17">
        <f>J14*K14</f>
      </c>
      <c r="M14" s="20">
        <f>D14+G14+J14</f>
      </c>
      <c r="N14" s="17">
        <f>F14+I14+L14</f>
      </c>
    </row>
    <row r="15" ht="22" customHeight="1" spans="1:14" x14ac:dyDescent="0.25">
      <c r="A15" s="21">
        <v>2</v>
      </c>
      <c r="B15" s="22" t="s">
        <v>57</v>
      </c>
      <c r="C15" s="23" t="s">
        <v>58</v>
      </c>
      <c r="D15" s="15">
        <v>2080</v>
      </c>
      <c r="E15" s="16">
        <v>98.5</v>
      </c>
      <c r="F15" s="17">
        <f>D15*E15</f>
      </c>
      <c r="G15" s="18">
        <f>D15</f>
      </c>
      <c r="H15" s="19">
        <f>E15*1.03</f>
      </c>
      <c r="I15" s="17">
        <f>G15*H15</f>
      </c>
      <c r="J15" s="18">
        <f>D15</f>
      </c>
      <c r="K15" s="19">
        <f>E15*1.0609</f>
      </c>
      <c r="L15" s="17">
        <f>J15*K15</f>
      </c>
      <c r="M15" s="20">
        <f>D15+G15+J15</f>
      </c>
      <c r="N15" s="17">
        <f>F15+I15+L15</f>
      </c>
    </row>
    <row r="16" ht="22" customHeight="1" spans="1:14" x14ac:dyDescent="0.25">
      <c r="A16" s="12">
        <v>3</v>
      </c>
      <c r="B16" s="13" t="s">
        <v>59</v>
      </c>
      <c r="C16" s="14" t="s">
        <v>60</v>
      </c>
      <c r="D16" s="15">
        <v>520</v>
      </c>
      <c r="E16" s="16">
        <v>62</v>
      </c>
      <c r="F16" s="17">
        <f>D16*E16</f>
      </c>
      <c r="G16" s="18">
        <f>D16</f>
      </c>
      <c r="H16" s="19">
        <f>E16*1.03</f>
      </c>
      <c r="I16" s="17">
        <f>G16*H16</f>
      </c>
      <c r="J16" s="18">
        <f>D16</f>
      </c>
      <c r="K16" s="19">
        <f>E16*1.0609</f>
      </c>
      <c r="L16" s="17">
        <f>J16*K16</f>
      </c>
      <c r="M16" s="20">
        <f>D16+G16+J16</f>
      </c>
      <c r="N16" s="17">
        <f>F16+I16+L16</f>
      </c>
    </row>
    <row r="17" ht="28" customHeight="1" spans="1:14" x14ac:dyDescent="0.25">
      <c r="A17" s="24" t="s">
        <v>61</v>
      </c>
      <c r="B17" s="24"/>
      <c r="C17" s="24"/>
      <c r="D17" s="25">
        <f>SUM(D14:D16)</f>
      </c>
      <c r="F17" s="26">
        <f>SUM(F14:F16)</f>
      </c>
      <c r="G17" s="25">
        <f>SUM(G14:G16)</f>
      </c>
      <c r="I17" s="26">
        <f>SUM(I14:I16)</f>
      </c>
      <c r="J17" s="25">
        <f>SUM(J14:J16)</f>
      </c>
      <c r="L17" s="26">
        <f>SUM(L14:L16)</f>
      </c>
      <c r="M17" s="25">
        <f>SUM(M14:M16)</f>
      </c>
      <c r="N17" s="26">
        <f>SUM(N14:N16)</f>
      </c>
    </row>
    <row r="18" ht="30" customHeight="1" spans="1:14" x14ac:dyDescent="0.25">
      <c r="A18" s="27" t="s">
        <v>62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20" ht="18" customHeight="1" spans="1:14" x14ac:dyDescent="0.25">
      <c r="A20" s="28" t="s">
        <v>63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</sheetData>
  <mergeCells count="20">
    <mergeCell ref="A1:N1"/>
    <mergeCell ref="A2:N2"/>
    <mergeCell ref="C4:F4"/>
    <mergeCell ref="I4:N4"/>
    <mergeCell ref="C5:F5"/>
    <mergeCell ref="I5:N5"/>
    <mergeCell ref="C6:F6"/>
    <mergeCell ref="I6:N6"/>
    <mergeCell ref="C7:F7"/>
    <mergeCell ref="I7:N7"/>
    <mergeCell ref="C8:F8"/>
    <mergeCell ref="I8:N8"/>
    <mergeCell ref="A10:N10"/>
    <mergeCell ref="D12:F12"/>
    <mergeCell ref="G12:I12"/>
    <mergeCell ref="J12:L12"/>
    <mergeCell ref="M12:N12"/>
    <mergeCell ref="A17:C17"/>
    <mergeCell ref="A18:N18"/>
    <mergeCell ref="A20:N20"/>
  </mergeCells>
  <pageMargins left="0.4" right="0.4" top="0.6" bottom="0.6" header="0.3" footer="0.3"/>
  <pageSetup paperSize="9" orientation="landscape" horizontalDpi="4294967295" verticalDpi="4294967295" scale="100" fitToWidth="1" fitToHeight="1"/>
  <headerFooter>
    <oddHeader>&amp;LCapturePilot — Sample Cost Proposal&amp;CDirect Labor&amp;Rcapturepilot.com</oddHeader>
    <oddFooter>&amp;LFLK-08&amp;C&amp;P of &amp;N&amp;RConfidential — Do Not Distribute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30" customWidth="1"/>
    <col min="3" max="3" width="16" customWidth="1"/>
    <col min="4" max="4" width="10" customWidth="1"/>
    <col min="5" max="5" width="12" customWidth="1"/>
    <col min="6" max="8" width="14" customWidth="1"/>
    <col min="9" max="9" width="16" customWidth="1"/>
    <col min="10" max="10" width="36" customWidth="1"/>
  </cols>
  <sheetData>
    <row r="1" ht="40" customHeight="1" spans="1:10" x14ac:dyDescent="0.25">
      <c r="A1" s="3" t="s">
        <v>64</v>
      </c>
      <c r="B1" s="3"/>
      <c r="C1" s="3"/>
      <c r="D1" s="3"/>
      <c r="E1" s="3"/>
      <c r="F1" s="3"/>
      <c r="G1" s="3"/>
      <c r="H1" s="3"/>
      <c r="I1" s="3"/>
      <c r="J1" s="3"/>
    </row>
    <row r="3" ht="6" customHeight="1" x14ac:dyDescent="0.25"/>
    <row r="4" ht="26" customHeight="1" spans="2:10" x14ac:dyDescent="0.25">
      <c r="B4" s="5" t="s">
        <v>65</v>
      </c>
      <c r="C4" s="29" t="s">
        <v>66</v>
      </c>
      <c r="D4" s="29"/>
      <c r="E4" s="29"/>
      <c r="F4" s="29"/>
      <c r="G4" s="29"/>
      <c r="H4" s="29"/>
      <c r="I4" s="29"/>
      <c r="J4" s="29"/>
    </row>
    <row r="5" ht="26" customHeight="1" spans="2:10" x14ac:dyDescent="0.25">
      <c r="B5" s="5" t="s">
        <v>67</v>
      </c>
      <c r="C5" s="29" t="s">
        <v>68</v>
      </c>
      <c r="D5" s="29"/>
      <c r="E5" s="29"/>
      <c r="F5" s="29"/>
      <c r="G5" s="29"/>
      <c r="H5" s="29"/>
      <c r="I5" s="29"/>
      <c r="J5" s="29"/>
    </row>
    <row r="6" ht="6" customHeight="1" x14ac:dyDescent="0.25"/>
    <row r="7" ht="22" customHeight="1" spans="6:9" x14ac:dyDescent="0.25">
      <c r="F7" s="8" t="s">
        <v>69</v>
      </c>
      <c r="G7" s="8" t="s">
        <v>70</v>
      </c>
      <c r="H7" s="8" t="s">
        <v>71</v>
      </c>
      <c r="I7" s="30" t="s">
        <v>72</v>
      </c>
    </row>
    <row r="8" ht="32" customHeight="1" spans="1:10" x14ac:dyDescent="0.25">
      <c r="A8" s="10" t="s">
        <v>47</v>
      </c>
      <c r="B8" s="11" t="s">
        <v>73</v>
      </c>
      <c r="C8" s="10" t="s">
        <v>74</v>
      </c>
      <c r="D8" s="10" t="s">
        <v>75</v>
      </c>
      <c r="E8" s="10" t="s">
        <v>76</v>
      </c>
      <c r="F8" s="10" t="s">
        <v>77</v>
      </c>
      <c r="G8" s="10" t="s">
        <v>78</v>
      </c>
      <c r="H8" s="10" t="s">
        <v>79</v>
      </c>
      <c r="I8" s="10" t="s">
        <v>80</v>
      </c>
      <c r="J8" s="11" t="s">
        <v>81</v>
      </c>
    </row>
    <row r="9" ht="30" customHeight="1" spans="1:10" x14ac:dyDescent="0.25">
      <c r="A9" s="12">
        <v>1</v>
      </c>
      <c r="B9" s="13" t="s">
        <v>82</v>
      </c>
      <c r="C9" s="14" t="s">
        <v>7</v>
      </c>
      <c r="D9" s="15">
        <v>4</v>
      </c>
      <c r="E9" s="16">
        <v>650</v>
      </c>
      <c r="F9" s="17">
        <f>D9*E9</f>
      </c>
      <c r="G9" s="17">
        <f>D9*E9*1</f>
      </c>
      <c r="H9" s="17">
        <f>D9*E9*1</f>
      </c>
      <c r="I9" s="17">
        <f>F9+G9+H9</f>
      </c>
      <c r="J9" s="31" t="s">
        <v>83</v>
      </c>
    </row>
    <row r="10" ht="30" customHeight="1" spans="1:10" x14ac:dyDescent="0.25">
      <c r="A10" s="21">
        <v>2</v>
      </c>
      <c r="B10" s="22" t="s">
        <v>84</v>
      </c>
      <c r="C10" s="23" t="s">
        <v>7</v>
      </c>
      <c r="D10" s="15">
        <v>8</v>
      </c>
      <c r="E10" s="16">
        <v>45</v>
      </c>
      <c r="F10" s="17">
        <f>D10*E10</f>
      </c>
      <c r="G10" s="17">
        <f>D10*E10*1</f>
      </c>
      <c r="H10" s="17">
        <f>D10*E10*1</f>
      </c>
      <c r="I10" s="17">
        <f>F10+G10+H10</f>
      </c>
      <c r="J10" s="32" t="s">
        <v>85</v>
      </c>
    </row>
    <row r="11" ht="30" customHeight="1" spans="1:10" x14ac:dyDescent="0.25">
      <c r="A11" s="12">
        <v>3</v>
      </c>
      <c r="B11" s="13" t="s">
        <v>86</v>
      </c>
      <c r="C11" s="14" t="s">
        <v>11</v>
      </c>
      <c r="D11" s="15">
        <v>3</v>
      </c>
      <c r="E11" s="16">
        <v>560</v>
      </c>
      <c r="F11" s="17">
        <f>D11*E11</f>
      </c>
      <c r="G11" s="17">
        <f>D11*E11*1.03</f>
      </c>
      <c r="H11" s="17">
        <f>D11*E11*1.0609</f>
      </c>
      <c r="I11" s="17">
        <f>F11+G11+H11</f>
      </c>
      <c r="J11" s="31" t="s">
        <v>87</v>
      </c>
    </row>
    <row r="12" ht="30" customHeight="1" spans="1:10" x14ac:dyDescent="0.25">
      <c r="A12" s="21">
        <v>4</v>
      </c>
      <c r="B12" s="22" t="s">
        <v>88</v>
      </c>
      <c r="C12" s="23" t="s">
        <v>11</v>
      </c>
      <c r="D12" s="15">
        <v>3</v>
      </c>
      <c r="E12" s="16">
        <v>360</v>
      </c>
      <c r="F12" s="17">
        <f>D12*E12</f>
      </c>
      <c r="G12" s="17">
        <f>D12*E12*1.03</f>
      </c>
      <c r="H12" s="17">
        <f>D12*E12*1.0609</f>
      </c>
      <c r="I12" s="17">
        <f>F12+G12+H12</f>
      </c>
      <c r="J12" s="32" t="s">
        <v>89</v>
      </c>
    </row>
    <row r="13" ht="30" customHeight="1" spans="1:10" x14ac:dyDescent="0.25">
      <c r="A13" s="12">
        <v>5</v>
      </c>
      <c r="B13" s="13" t="s">
        <v>90</v>
      </c>
      <c r="C13" s="14" t="s">
        <v>17</v>
      </c>
      <c r="D13" s="15">
        <v>4</v>
      </c>
      <c r="E13" s="16">
        <v>120</v>
      </c>
      <c r="F13" s="17">
        <f>D13*E13</f>
      </c>
      <c r="G13" s="17">
        <f>D13*E13*1</f>
      </c>
      <c r="H13" s="17">
        <f>D13*E13*1</f>
      </c>
      <c r="I13" s="17">
        <f>F13+G13+H13</f>
      </c>
      <c r="J13" s="31" t="s">
        <v>91</v>
      </c>
    </row>
    <row r="14" ht="30" customHeight="1" spans="1:10" x14ac:dyDescent="0.25">
      <c r="A14" s="21">
        <v>6</v>
      </c>
      <c r="B14" s="22" t="s">
        <v>92</v>
      </c>
      <c r="C14" s="23" t="s">
        <v>11</v>
      </c>
      <c r="D14" s="15">
        <v>1</v>
      </c>
      <c r="E14" s="16">
        <v>950</v>
      </c>
      <c r="F14" s="17">
        <f>D14*E14</f>
      </c>
      <c r="G14" s="17">
        <f>D14*E14*1</f>
      </c>
      <c r="H14" s="17">
        <f>D14*E14*1</f>
      </c>
      <c r="I14" s="17">
        <f>F14+G14+H14</f>
      </c>
      <c r="J14" s="32" t="s">
        <v>93</v>
      </c>
    </row>
    <row r="15" ht="28" customHeight="1" spans="1:9" x14ac:dyDescent="0.25">
      <c r="A15" s="24" t="s">
        <v>94</v>
      </c>
      <c r="B15" s="24"/>
      <c r="C15" s="24"/>
      <c r="D15" s="24"/>
      <c r="E15" s="24"/>
      <c r="F15" s="26">
        <f>SUM(F9:F14)</f>
      </c>
      <c r="G15" s="26">
        <f>SUM(G9:G14)</f>
      </c>
      <c r="H15" s="26">
        <f>SUM(H9:H14)</f>
      </c>
      <c r="I15" s="26">
        <f>SUM(I9:I14)</f>
      </c>
    </row>
    <row r="17" ht="18" customHeight="1" spans="1:10" x14ac:dyDescent="0.25">
      <c r="A17" s="28" t="s">
        <v>63</v>
      </c>
      <c r="B17" s="28"/>
      <c r="C17" s="28"/>
      <c r="D17" s="28"/>
      <c r="E17" s="28"/>
      <c r="F17" s="28"/>
      <c r="G17" s="28"/>
      <c r="H17" s="28"/>
      <c r="I17" s="28"/>
      <c r="J17" s="28"/>
    </row>
  </sheetData>
  <mergeCells count="5">
    <mergeCell ref="A1:J1"/>
    <mergeCell ref="C4:J4"/>
    <mergeCell ref="C5:J5"/>
    <mergeCell ref="A15:E15"/>
    <mergeCell ref="A17:J17"/>
  </mergeCells>
  <dataValidations count="2">
    <dataValidation type="list" allowBlank="1" sqref="C10:C14">
      <formula1>ODCCategory</formula1>
    </dataValidation>
    <dataValidation type="list" allowBlank="1" sqref="C9:C14">
      <formula1>ODCCategory</formula1>
    </dataValidation>
  </dataValidations>
  <pageMargins left="0.4" right="0.4" top="0.6" bottom="0.6" header="0.3" footer="0.3"/>
  <pageSetup paperSize="9" orientation="landscape" horizontalDpi="4294967295" verticalDpi="4294967295" scale="100" fitToWidth="1" fitToHeight="1"/>
  <headerFooter>
    <oddHeader>&amp;LCapturePilot — Sample Cost Proposal&amp;COther Direct Costs&amp;Rcapturepilot.com</oddHeader>
    <oddFooter>&amp;LFLK-08&amp;C&amp;P of &amp;N&amp;RConfidential — Do Not Distribute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5" width="16" customWidth="1"/>
    <col min="6" max="6" width="40" customWidth="1"/>
  </cols>
  <sheetData>
    <row r="1" ht="40" customHeight="1" spans="1:6" x14ac:dyDescent="0.25">
      <c r="A1" s="3" t="s">
        <v>95</v>
      </c>
      <c r="B1" s="3"/>
      <c r="C1" s="3"/>
      <c r="D1" s="3"/>
      <c r="E1" s="3"/>
      <c r="F1" s="3"/>
    </row>
    <row r="2" ht="32" customHeight="1" spans="1:6" x14ac:dyDescent="0.25">
      <c r="A2" s="33" t="s">
        <v>96</v>
      </c>
      <c r="B2" s="33"/>
      <c r="C2" s="33"/>
      <c r="D2" s="33"/>
      <c r="E2" s="33"/>
      <c r="F2" s="33"/>
    </row>
    <row r="3" ht="6" customHeight="1" x14ac:dyDescent="0.25"/>
    <row r="4" ht="22" customHeight="1" spans="1:6" x14ac:dyDescent="0.25">
      <c r="A4" s="34" t="s">
        <v>97</v>
      </c>
      <c r="B4" s="34"/>
      <c r="C4" s="34"/>
      <c r="D4" s="34"/>
      <c r="E4" s="34"/>
      <c r="F4" s="34"/>
    </row>
    <row r="5" ht="32" customHeight="1" spans="1:6" x14ac:dyDescent="0.25">
      <c r="A5" s="11" t="s">
        <v>98</v>
      </c>
      <c r="B5" s="10" t="s">
        <v>99</v>
      </c>
      <c r="C5" s="10" t="s">
        <v>100</v>
      </c>
      <c r="D5" s="10" t="s">
        <v>101</v>
      </c>
      <c r="E5" s="10" t="s">
        <v>102</v>
      </c>
      <c r="F5" s="11" t="s">
        <v>103</v>
      </c>
    </row>
    <row r="6" ht="32" customHeight="1" spans="1:6" x14ac:dyDescent="0.25">
      <c r="A6" s="35" t="s">
        <v>104</v>
      </c>
      <c r="B6" s="36">
        <v>0.34</v>
      </c>
      <c r="C6" s="36">
        <v>0.35</v>
      </c>
      <c r="D6" s="36">
        <v>0.36</v>
      </c>
      <c r="E6" s="37" t="s">
        <v>105</v>
      </c>
      <c r="F6" s="31" t="s">
        <v>106</v>
      </c>
    </row>
    <row r="7" ht="32" customHeight="1" spans="1:6" x14ac:dyDescent="0.25">
      <c r="A7" s="38" t="s">
        <v>107</v>
      </c>
      <c r="B7" s="36">
        <v>0.62</v>
      </c>
      <c r="C7" s="36">
        <v>0.63</v>
      </c>
      <c r="D7" s="36">
        <v>0.64</v>
      </c>
      <c r="E7" s="39" t="s">
        <v>108</v>
      </c>
      <c r="F7" s="32" t="s">
        <v>109</v>
      </c>
    </row>
    <row r="8" ht="32" customHeight="1" spans="1:6" x14ac:dyDescent="0.25">
      <c r="A8" s="35" t="s">
        <v>110</v>
      </c>
      <c r="B8" s="36">
        <v>0.15</v>
      </c>
      <c r="C8" s="36">
        <v>0.15</v>
      </c>
      <c r="D8" s="36">
        <v>0.15</v>
      </c>
      <c r="E8" s="37" t="s">
        <v>111</v>
      </c>
      <c r="F8" s="31" t="s">
        <v>112</v>
      </c>
    </row>
    <row r="10" ht="22" customHeight="1" spans="1:6" x14ac:dyDescent="0.25">
      <c r="A10" s="34" t="s">
        <v>113</v>
      </c>
      <c r="B10" s="34"/>
      <c r="C10" s="34"/>
      <c r="D10" s="34"/>
      <c r="E10" s="34"/>
      <c r="F10" s="34"/>
    </row>
    <row r="11" ht="32" customHeight="1" spans="1:6" x14ac:dyDescent="0.25">
      <c r="A11" s="11" t="s">
        <v>114</v>
      </c>
      <c r="B11" s="10" t="s">
        <v>6</v>
      </c>
      <c r="C11" s="10" t="s">
        <v>10</v>
      </c>
      <c r="D11" s="10" t="s">
        <v>13</v>
      </c>
      <c r="E11" s="10" t="s">
        <v>115</v>
      </c>
      <c r="F11" s="11" t="s">
        <v>116</v>
      </c>
    </row>
    <row r="12" ht="26" customHeight="1" spans="1:6" x14ac:dyDescent="0.25">
      <c r="A12" s="40" t="s">
        <v>105</v>
      </c>
      <c r="B12" s="41">
        <f>DL_BY</f>
      </c>
      <c r="C12" s="41">
        <f>DL_OY1</f>
      </c>
      <c r="D12" s="41">
        <f>DL_OY2</f>
      </c>
      <c r="E12" s="42">
        <f>B12+C12+D12</f>
      </c>
      <c r="F12" s="31" t="s">
        <v>117</v>
      </c>
    </row>
    <row r="13" ht="26" customHeight="1" spans="1:6" x14ac:dyDescent="0.25">
      <c r="A13" s="43" t="s">
        <v>104</v>
      </c>
      <c r="B13" s="44">
        <f>B12*RATE_FRINGE_BY</f>
      </c>
      <c r="C13" s="44">
        <f>C12*RATE_FRINGE_OY1</f>
      </c>
      <c r="D13" s="44">
        <f>D12*RATE_FRINGE_OY2</f>
      </c>
      <c r="E13" s="45">
        <f>B13+C13+D13</f>
      </c>
      <c r="F13" s="32" t="s">
        <v>118</v>
      </c>
    </row>
    <row r="14" ht="26" customHeight="1" spans="1:6" x14ac:dyDescent="0.25">
      <c r="A14" s="40" t="s">
        <v>119</v>
      </c>
      <c r="B14" s="41">
        <f>(B12+B13)*RATE_OH_BY</f>
      </c>
      <c r="C14" s="41">
        <f>(C12+C13)*RATE_OH_OY1</f>
      </c>
      <c r="D14" s="41">
        <f>(D12+D13)*RATE_OH_OY2</f>
      </c>
      <c r="E14" s="42">
        <f>B14+C14+D14</f>
      </c>
      <c r="F14" s="31" t="s">
        <v>120</v>
      </c>
    </row>
    <row r="15" ht="26" customHeight="1" spans="1:6" x14ac:dyDescent="0.25">
      <c r="A15" s="43" t="s">
        <v>11</v>
      </c>
      <c r="B15" s="44">
        <f>ODC_BY</f>
      </c>
      <c r="C15" s="44">
        <f>ODC_OY1</f>
      </c>
      <c r="D15" s="44">
        <f>ODC_OY2</f>
      </c>
      <c r="E15" s="45">
        <f>B15+C15+D15</f>
      </c>
      <c r="F15" s="32" t="s">
        <v>121</v>
      </c>
    </row>
    <row r="16" ht="26" customHeight="1" spans="1:6" x14ac:dyDescent="0.25">
      <c r="A16" s="40" t="s">
        <v>122</v>
      </c>
      <c r="B16" s="41">
        <f>(B12+B13+B14+B15)*RATE_GA_BY</f>
      </c>
      <c r="C16" s="41">
        <f>(C12+C13+C14+C15)*RATE_GA_BY</f>
      </c>
      <c r="D16" s="41">
        <f>(D12+D13+D14+D15)*RATE_GA_BY</f>
      </c>
      <c r="E16" s="42">
        <f>B16+C16+D16</f>
      </c>
      <c r="F16" s="31" t="s">
        <v>123</v>
      </c>
    </row>
    <row r="17" ht="28" customHeight="1" spans="1:5" x14ac:dyDescent="0.25">
      <c r="A17" s="24" t="s">
        <v>124</v>
      </c>
      <c r="B17" s="26">
        <f>SUM(B12:B16)</f>
      </c>
      <c r="C17" s="26">
        <f>SUM(C12:C16)</f>
      </c>
      <c r="D17" s="26">
        <f>SUM(D12:D16)</f>
      </c>
      <c r="E17" s="26">
        <f>SUM(E12:E16)</f>
      </c>
    </row>
    <row r="19" ht="18" customHeight="1" spans="1:6" x14ac:dyDescent="0.25">
      <c r="A19" s="28" t="s">
        <v>63</v>
      </c>
      <c r="B19" s="28"/>
      <c r="C19" s="28"/>
      <c r="D19" s="28"/>
      <c r="E19" s="28"/>
      <c r="F19" s="28"/>
    </row>
  </sheetData>
  <mergeCells count="5">
    <mergeCell ref="A1:F1"/>
    <mergeCell ref="A2:F2"/>
    <mergeCell ref="A4:F4"/>
    <mergeCell ref="A10:F10"/>
    <mergeCell ref="A19:F19"/>
  </mergeCells>
  <pageMargins left="0.5" right="0.5" top="0.6" bottom="0.6" header="0.3" footer="0.3"/>
  <pageSetup paperSize="9" orientation="portrait" horizontalDpi="4294967295" verticalDpi="4294967295" scale="100" fitToWidth="1" fitToHeight="1"/>
  <headerFooter>
    <oddHeader>&amp;LCapturePilot — Sample Cost Proposal&amp;CIndirect Rates&amp;Rcapturepilot.com</oddHeader>
    <oddFooter>&amp;LFLK-08&amp;C&amp;P of &amp;N&amp;RConfidential — Do Not Distribute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5" width="16" customWidth="1"/>
    <col min="6" max="6" width="40" customWidth="1"/>
  </cols>
  <sheetData>
    <row r="1" ht="40" customHeight="1" spans="1:6" x14ac:dyDescent="0.25">
      <c r="A1" s="3" t="s">
        <v>125</v>
      </c>
      <c r="B1" s="3"/>
      <c r="C1" s="3"/>
      <c r="D1" s="3"/>
      <c r="E1" s="3"/>
      <c r="F1" s="3"/>
    </row>
    <row r="2" ht="36" customHeight="1" spans="1:6" x14ac:dyDescent="0.25">
      <c r="A2" s="33" t="s">
        <v>126</v>
      </c>
      <c r="B2" s="33"/>
      <c r="C2" s="33"/>
      <c r="D2" s="33"/>
      <c r="E2" s="33"/>
      <c r="F2" s="33"/>
    </row>
    <row r="3" ht="6" customHeight="1" x14ac:dyDescent="0.25"/>
    <row r="4" ht="32" customHeight="1" spans="1:6" x14ac:dyDescent="0.25">
      <c r="A4" s="11" t="s">
        <v>127</v>
      </c>
      <c r="B4" s="10" t="s">
        <v>6</v>
      </c>
      <c r="C4" s="10" t="s">
        <v>10</v>
      </c>
      <c r="D4" s="10" t="s">
        <v>13</v>
      </c>
      <c r="E4" s="10" t="s">
        <v>115</v>
      </c>
      <c r="F4" s="11" t="s">
        <v>116</v>
      </c>
    </row>
    <row r="5" ht="26" customHeight="1" spans="1:6" x14ac:dyDescent="0.25">
      <c r="A5" s="38" t="s">
        <v>128</v>
      </c>
      <c r="B5" s="36">
        <v>0.08</v>
      </c>
      <c r="C5" s="46">
        <f>B5</f>
      </c>
      <c r="D5" s="46">
        <f>B5</f>
      </c>
      <c r="F5" s="47" t="s">
        <v>129</v>
      </c>
    </row>
    <row r="6" ht="26" customHeight="1" spans="1:6" x14ac:dyDescent="0.25">
      <c r="A6" s="35" t="s">
        <v>130</v>
      </c>
      <c r="B6" s="17">
        <f>TCBF_BY*FEE_RATE</f>
      </c>
      <c r="C6" s="17">
        <f>TCBF_OY1*FEE_RATE</f>
      </c>
      <c r="D6" s="17">
        <f>TCBF_OY2*FEE_RATE</f>
      </c>
      <c r="E6" s="17">
        <f>B6+C6+D6</f>
      </c>
      <c r="F6" s="48" t="s">
        <v>131</v>
      </c>
    </row>
    <row r="7" ht="32" customHeight="1" spans="1:6" x14ac:dyDescent="0.25">
      <c r="A7" s="24" t="s">
        <v>132</v>
      </c>
      <c r="B7" s="49">
        <f>TCBF_BY+FEE_BY</f>
      </c>
      <c r="C7" s="49">
        <f>TCBF_OY1+FEE_OY1</f>
      </c>
      <c r="D7" s="49">
        <f>TCBF_OY2+FEE_OY2</f>
      </c>
      <c r="E7" s="49">
        <f>TCBF_TOTAL+FEE_TOTAL</f>
      </c>
      <c r="F7" s="50" t="s">
        <v>133</v>
      </c>
    </row>
    <row r="9" ht="26" customHeight="1" spans="1:6" x14ac:dyDescent="0.25">
      <c r="A9" s="51" t="s">
        <v>134</v>
      </c>
      <c r="B9" s="51"/>
      <c r="C9" s="51"/>
      <c r="D9" s="51"/>
      <c r="E9" s="51"/>
      <c r="F9" s="51"/>
    </row>
    <row r="11" ht="18" customHeight="1" spans="1:6" x14ac:dyDescent="0.25">
      <c r="A11" s="28" t="s">
        <v>63</v>
      </c>
      <c r="B11" s="28"/>
      <c r="C11" s="28"/>
      <c r="D11" s="28"/>
      <c r="E11" s="28"/>
      <c r="F11" s="28"/>
    </row>
  </sheetData>
  <mergeCells count="4">
    <mergeCell ref="A1:F1"/>
    <mergeCell ref="A2:F2"/>
    <mergeCell ref="A9:F9"/>
    <mergeCell ref="A11:F11"/>
  </mergeCells>
  <pageMargins left="0.5" right="0.5" top="0.6" bottom="0.6" header="0.3" footer="0.3"/>
  <pageSetup paperSize="9" orientation="portrait" horizontalDpi="4294967295" verticalDpi="4294967295" scale="100" fitToWidth="1" fitToHeight="1"/>
  <headerFooter>
    <oddHeader>&amp;LCapturePilot — Sample Cost Proposal&amp;CFee Computation&amp;Rcapturepilot.com</oddHeader>
    <oddFooter>&amp;LFLK-08&amp;C&amp;P of &amp;N&amp;RConfidential — Do Not Distribute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5" width="16" customWidth="1"/>
    <col min="6" max="6" width="12" customWidth="1"/>
  </cols>
  <sheetData>
    <row r="1" ht="40" customHeight="1" spans="1:6" x14ac:dyDescent="0.25">
      <c r="A1" s="3" t="s">
        <v>135</v>
      </c>
      <c r="B1" s="3"/>
      <c r="C1" s="3"/>
      <c r="D1" s="3"/>
      <c r="E1" s="3"/>
      <c r="F1" s="3"/>
    </row>
    <row r="2" ht="22" customHeight="1" spans="1:6" x14ac:dyDescent="0.25">
      <c r="A2" s="52" t="s">
        <v>136</v>
      </c>
      <c r="B2" s="52"/>
      <c r="C2" s="52"/>
      <c r="D2" s="52"/>
      <c r="E2" s="52"/>
      <c r="F2" s="52"/>
    </row>
    <row r="3" ht="6" customHeight="1" x14ac:dyDescent="0.25"/>
    <row r="4" ht="32" customHeight="1" spans="1:6" x14ac:dyDescent="0.25">
      <c r="A4" s="11" t="s">
        <v>114</v>
      </c>
      <c r="B4" s="10" t="s">
        <v>6</v>
      </c>
      <c r="C4" s="10" t="s">
        <v>10</v>
      </c>
      <c r="D4" s="10" t="s">
        <v>13</v>
      </c>
      <c r="E4" s="10" t="s">
        <v>115</v>
      </c>
      <c r="F4" s="10" t="s">
        <v>137</v>
      </c>
    </row>
    <row r="5" ht="24" customHeight="1" spans="1:6" x14ac:dyDescent="0.25">
      <c r="A5" s="40" t="s">
        <v>105</v>
      </c>
      <c r="B5" s="41">
        <f>DL_BY</f>
      </c>
      <c r="C5" s="41">
        <f>DL_OY1</f>
      </c>
      <c r="D5" s="41">
        <f>DL_OY2</f>
      </c>
      <c r="E5" s="41">
        <f>DL_TOTAL</f>
      </c>
      <c r="F5" s="53">
        <f>IFERROR(E5/PRICE_TOTAL,0)</f>
      </c>
    </row>
    <row r="6" ht="24" customHeight="1" spans="1:6" x14ac:dyDescent="0.25">
      <c r="A6" s="43" t="s">
        <v>104</v>
      </c>
      <c r="B6" s="44">
        <f>'Indirect Rates'!B13</f>
      </c>
      <c r="C6" s="44">
        <f>'Indirect Rates'!C13</f>
      </c>
      <c r="D6" s="44">
        <f>'Indirect Rates'!D13</f>
      </c>
      <c r="E6" s="44">
        <f>B6+C6+D6</f>
      </c>
      <c r="F6" s="54">
        <f>IFERROR(E6/PRICE_TOTAL,0)</f>
      </c>
    </row>
    <row r="7" ht="24" customHeight="1" spans="1:6" x14ac:dyDescent="0.25">
      <c r="A7" s="40" t="s">
        <v>119</v>
      </c>
      <c r="B7" s="41">
        <f>'Indirect Rates'!B14</f>
      </c>
      <c r="C7" s="41">
        <f>'Indirect Rates'!C14</f>
      </c>
      <c r="D7" s="41">
        <f>'Indirect Rates'!D14</f>
      </c>
      <c r="E7" s="41">
        <f>B7+C7+D7</f>
      </c>
      <c r="F7" s="53">
        <f>IFERROR(E7/PRICE_TOTAL,0)</f>
      </c>
    </row>
    <row r="8" ht="24" customHeight="1" spans="1:6" x14ac:dyDescent="0.25">
      <c r="A8" s="43" t="s">
        <v>11</v>
      </c>
      <c r="B8" s="44">
        <f>ODC_BY</f>
      </c>
      <c r="C8" s="44">
        <f>ODC_OY1</f>
      </c>
      <c r="D8" s="44">
        <f>ODC_OY2</f>
      </c>
      <c r="E8" s="44">
        <f>ODC_TOTAL</f>
      </c>
      <c r="F8" s="54">
        <f>IFERROR(E8/PRICE_TOTAL,0)</f>
      </c>
    </row>
    <row r="9" ht="24" customHeight="1" spans="1:6" x14ac:dyDescent="0.25">
      <c r="A9" s="40" t="s">
        <v>138</v>
      </c>
      <c r="B9" s="41">
        <f>'Indirect Rates'!B16</f>
      </c>
      <c r="C9" s="41">
        <f>'Indirect Rates'!C16</f>
      </c>
      <c r="D9" s="41">
        <f>'Indirect Rates'!D16</f>
      </c>
      <c r="E9" s="41">
        <f>B9+C9+D9</f>
      </c>
      <c r="F9" s="53">
        <f>IFERROR(E9/PRICE_TOTAL,0)</f>
      </c>
    </row>
    <row r="10" ht="24" customHeight="1" spans="1:6" x14ac:dyDescent="0.25">
      <c r="A10" s="38" t="s">
        <v>139</v>
      </c>
      <c r="B10" s="45">
        <f>TCBF_BY</f>
      </c>
      <c r="C10" s="45">
        <f>TCBF_OY1</f>
      </c>
      <c r="D10" s="45">
        <f>TCBF_OY2</f>
      </c>
      <c r="E10" s="45">
        <f>TCBF_TOTAL</f>
      </c>
      <c r="F10" s="54">
        <f>IFERROR(E10/PRICE_TOTAL,0)</f>
      </c>
    </row>
    <row r="11" ht="24" customHeight="1" spans="1:6" x14ac:dyDescent="0.25">
      <c r="A11" s="40" t="s">
        <v>140</v>
      </c>
      <c r="B11" s="41">
        <f>FEE_BY</f>
      </c>
      <c r="C11" s="41">
        <f>FEE_OY1</f>
      </c>
      <c r="D11" s="41">
        <f>FEE_OY2</f>
      </c>
      <c r="E11" s="41">
        <f>FEE_TOTAL</f>
      </c>
      <c r="F11" s="53">
        <f>IFERROR(E11/PRICE_TOTAL,0)</f>
      </c>
    </row>
    <row r="12" ht="32" customHeight="1" spans="1:6" x14ac:dyDescent="0.25">
      <c r="A12" s="55" t="s">
        <v>141</v>
      </c>
      <c r="B12" s="26">
        <f>PRICE_BY</f>
      </c>
      <c r="C12" s="26">
        <f>PRICE_OY1</f>
      </c>
      <c r="D12" s="26">
        <f>PRICE_OY2</f>
      </c>
      <c r="E12" s="26">
        <f>PRICE_TOTAL</f>
      </c>
      <c r="F12" s="56" t="s">
        <v>142</v>
      </c>
    </row>
    <row r="14" ht="22" customHeight="1" spans="1:6" x14ac:dyDescent="0.25">
      <c r="A14" s="57" t="s">
        <v>143</v>
      </c>
      <c r="B14" s="57"/>
      <c r="C14" s="57"/>
      <c r="D14" s="57"/>
      <c r="E14" s="57"/>
      <c r="F14" s="57"/>
    </row>
    <row r="15" ht="32" customHeight="1" spans="1:6" x14ac:dyDescent="0.25">
      <c r="A15" s="58" t="s">
        <v>144</v>
      </c>
      <c r="B15" s="59" t="s">
        <v>145</v>
      </c>
      <c r="C15" s="59" t="s">
        <v>146</v>
      </c>
      <c r="D15" s="59" t="s">
        <v>147</v>
      </c>
      <c r="E15" s="59" t="s">
        <v>148</v>
      </c>
      <c r="F15" s="58" t="s">
        <v>149</v>
      </c>
    </row>
    <row r="16" ht="26" customHeight="1" spans="1:6" x14ac:dyDescent="0.25">
      <c r="A16" s="60" t="s">
        <v>150</v>
      </c>
      <c r="B16" s="61" t="s">
        <v>151</v>
      </c>
      <c r="C16" s="61" t="s">
        <v>152</v>
      </c>
      <c r="D16" s="62">
        <f>PRICE_TOTAL</f>
      </c>
      <c r="E16" s="62">
        <f>0</f>
      </c>
      <c r="F16" s="31" t="s">
        <v>153</v>
      </c>
    </row>
    <row r="17" ht="26" customHeight="1" spans="1:6" x14ac:dyDescent="0.25">
      <c r="A17" s="63" t="s">
        <v>154</v>
      </c>
      <c r="B17" s="64" t="s">
        <v>155</v>
      </c>
      <c r="C17" s="64" t="s">
        <v>156</v>
      </c>
      <c r="D17" s="65">
        <f>PRICE_TOTAL*0.8</f>
      </c>
      <c r="E17" s="65">
        <f>PRICE_TOTAL*0.2</f>
      </c>
      <c r="F17" s="32" t="s">
        <v>157</v>
      </c>
    </row>
    <row r="18" ht="26" customHeight="1" spans="1:6" x14ac:dyDescent="0.25">
      <c r="A18" s="60" t="s">
        <v>158</v>
      </c>
      <c r="B18" s="61" t="s">
        <v>159</v>
      </c>
      <c r="C18" s="61" t="s">
        <v>159</v>
      </c>
      <c r="D18" s="62">
        <f>PRICE_TOTAL*0.5</f>
      </c>
      <c r="E18" s="62">
        <f>PRICE_TOTAL*0.5</f>
      </c>
      <c r="F18" s="31" t="s">
        <v>160</v>
      </c>
    </row>
    <row r="20" ht="18" customHeight="1" spans="1:6" x14ac:dyDescent="0.25">
      <c r="A20" s="28" t="s">
        <v>63</v>
      </c>
      <c r="B20" s="28"/>
      <c r="C20" s="28"/>
      <c r="D20" s="28"/>
      <c r="E20" s="28"/>
      <c r="F20" s="28"/>
    </row>
  </sheetData>
  <mergeCells count="4">
    <mergeCell ref="A1:F1"/>
    <mergeCell ref="A2:F2"/>
    <mergeCell ref="A14:F14"/>
    <mergeCell ref="A20:F20"/>
  </mergeCells>
  <pageMargins left="0.5" right="0.5" top="0.6" bottom="0.6" header="0.3" footer="0.3"/>
  <pageSetup paperSize="9" orientation="portrait" horizontalDpi="4294967295" verticalDpi="4294967295" scale="100" fitToWidth="1" fitToHeight="1"/>
  <headerFooter>
    <oddHeader>&amp;LCapturePilot — Sample Cost Proposal&amp;CSummary&amp;Rcapturepilot.com</oddHeader>
    <oddFooter>&amp;LFLK-08&amp;C&amp;P of &amp;N&amp;RConfidential — Do Not Distribute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Lists</vt:lpstr>
      <vt:lpstr>Direct Labor</vt:lpstr>
      <vt:lpstr>Other Direct Costs</vt:lpstr>
      <vt:lpstr>Indirect Rates</vt:lpstr>
      <vt:lpstr>Fee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CapturePilot</dc:creator>
  <dc:title>Sample Cost Proposal  —  $750K FFP Professional Services</dc:title>
  <dc:subject>Sample FFP cost proposal — price-to-win reference</dc:subject>
  <dc:description/>
  <cp:keywords/>
  <cp:category/>
  <cp:lastModifiedBy>CapturePilot</cp:lastModifiedBy>
  <dcterms:created xsi:type="dcterms:W3CDTF">2026-06-10T02:07:16Z</dcterms:created>
  <dcterms:modified xsi:type="dcterms:W3CDTF">2026-06-10T02:07:16Z</dcterms:modified>
</cp:coreProperties>
</file>